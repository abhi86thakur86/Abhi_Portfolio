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b2b20b9928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results" sheetId="1" r:id="Raba449458c374f2f"/>
    <x:sheet xmlns:r="http://schemas.openxmlformats.org/officeDocument/2006/relationships" name="Sales calculation" sheetId="2" r:id="Ra17a45324b33426c"/>
    <x:sheet xmlns:r="http://schemas.openxmlformats.org/officeDocument/2006/relationships" name="Inputs" sheetId="3" r:id="R29f40fc2fe26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-yy"/>
    <x:numFmt numFmtId="201" formatCode="&quot;$&quot;0.00"/>
    <x:numFmt numFmtId="202" formatCode="0.0%"/>
    <x:numFmt numFmtId="203" formatCode="&quot;$&quot;#,##0;(&quot;$&quot;#,##0);&quot;-&quot;"/>
  </x:numFmts>
  <x:fonts count="10">
    <x:font>
      <x:sz val="11"/>
      <x:name val="Carlito"/>
    </x:font>
    <x:font>
      <x:sz val="10"/>
      <x:color rgb="FF0F172A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0"/>
      <x:color rgb="FF008000"/>
      <x:name val="Arial"/>
    </x:font>
    <x:font>
      <x:b/>
      <x:sz val="16"/>
      <x:color rgb="FF1E3A5F"/>
      <x:name val="Arial"/>
    </x:font>
    <x:font>
      <x:i/>
      <x:sz val="10"/>
      <x:color rgb="FF64748B"/>
      <x:name val="Arial"/>
    </x:font>
    <x:font>
      <x:b/>
      <x:sz val="10"/>
      <x:color rgb="FF0F172A"/>
      <x:name val="Arial"/>
    </x:font>
    <x:font>
      <x:i/>
      <x:sz val="10"/>
      <x:color rgb="FF0F172A"/>
      <x:name val="Arial"/>
    </x:font>
    <x:font>
      <x:b/>
      <x:i/>
      <x:sz val="10"/>
      <x:color rgb="FF0F172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7DB"/>
      </x:patternFill>
    </x:fill>
    <x:fill>
      <x:patternFill patternType="solid">
        <x:fgColor rgb="FF1E3A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1E3A5F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203" fontId="7" fillId="0" borderId="1" xfId="0" applyNumberFormat="1" applyFont="1" applyFill="1" applyBorder="1" applyAlignment="1">
      <x:alignment vertical="center"/>
    </x:xf>
    <x:xf numFmtId="202" fontId="9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8eabf00014080" /><Relationship Type="http://schemas.openxmlformats.org/officeDocument/2006/relationships/theme" Target="/xl/theme/theme1.xml" Id="R69782b66d8d04f53" /><Relationship Type="http://schemas.openxmlformats.org/officeDocument/2006/relationships/sharedStrings" Target="/xl/sharedStrings.xml" Id="Rac94188f18604c18" /><Relationship Type="http://schemas.openxmlformats.org/officeDocument/2006/relationships/worksheet" Target="/xl/worksheets/sheet1.xml" Id="Raba449458c374f2f" /><Relationship Type="http://schemas.openxmlformats.org/officeDocument/2006/relationships/worksheet" Target="/xl/worksheets/sheet2.xml" Id="Ra17a45324b33426c" /><Relationship Type="http://schemas.openxmlformats.org/officeDocument/2006/relationships/worksheet" Target="/xl/worksheets/sheet3.xml" Id="R29f40fc2fe2645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0758d150664c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Monthly contribution and overhead (NZD)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Contribution</c:v>
          </c:tx>
          <c:spPr>
            <a:ln xmlns:a="http://schemas.openxmlformats.org/drawingml/2006/main" w="1905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strRef>
              <c:f>'Monthly results'!$K$28:$K$39</c:f>
              <c:strCache>
                <c:ptCount val="0"/>
              </c:strCache>
            </c:strRef>
          </c:cat>
          <c:val>
            <c:numRef>
              <c:f>'Monthly results'!$L$28:$L$39</c:f>
              <c:numCache>
                <c:formatCode>$0,"k"</c:formatCode>
                <c:ptCount val="0"/>
              </c:numCache>
            </c:numRef>
          </c:val>
          <c:smooth val="0"/>
        </c:ser>
        <c:ser>
          <c:idx val="1"/>
          <c:order val="1"/>
          <c:tx>
            <c:v>Overhead</c:v>
          </c:tx>
          <c:spPr>
            <a:ln xmlns:a="http://schemas.openxmlformats.org/drawingml/2006/main" w="19050">
              <a:solidFill>
                <a:srgbClr val="D97706"/>
              </a:solidFill>
              <a:prstDash val="dash"/>
            </a:ln>
          </c:spPr>
          <c:marker>
            <c:symbol val="none"/>
          </c:marker>
          <c:cat>
            <c:strRef>
              <c:f>'Monthly results'!$K$28:$K$39</c:f>
              <c:strCache>
                <c:ptCount val="0"/>
              </c:strCache>
            </c:strRef>
          </c:cat>
          <c:val>
            <c:numRef>
              <c:f>'Monthly results'!$M$28:$M$39</c:f>
              <c:numCache>
                <c:formatCode>$0,"k"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,&quot;k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9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0758d150664c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alesCalculation" displayName="SalesCalculation" ref="A1:J145" headerRowCount="1" totalsRowCount="0" totalsRowShown="0">
  <x:tableColumns count="10">
    <x:tableColumn id="1" name="Month"/>
    <x:tableColumn id="2" name="Channel"/>
    <x:tableColumn id="3" name="Category"/>
    <x:tableColumn id="4" name="Revenue"/>
    <x:tableColumn id="5" name="Food cost"/>
    <x:tableColumn id="6" name="Channel fee"/>
    <x:tableColumn id="7" name="Gross profit"/>
    <x:tableColumn id="8" name="Contribution"/>
    <x:tableColumn id="9" name="Margin"/>
    <x:tableColumn id="10" name="Un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alesInputs" displayName="SalesInputs" ref="A1:G145" headerRowCount="1" totalsRowCount="0" totalsRowShown="0">
  <x:tableColumns count="7">
    <x:tableColumn id="1" name="Month"/>
    <x:tableColumn id="2" name="Channel"/>
    <x:tableColumn id="3" name="Category"/>
    <x:tableColumn id="4" name="Units"/>
    <x:tableColumn id="5" name="Unit price"/>
    <x:tableColumn id="6" name="Unit food cost"/>
    <x:tableColumn id="7" name="Fee 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OverheadInputs" displayName="OverheadInputs" ref="I1:J13" headerRowCount="1" totalsRowCount="0" totalsRowShown="0">
  <x:tableColumns count="2">
    <x:tableColumn id="1" name="Month"/>
    <x:tableColumn id="2" name="Overhead (NZ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57025d6fe341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547165fe9242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a55624eed94c2d" /><Relationship Type="http://schemas.openxmlformats.org/officeDocument/2006/relationships/table" Target="/xl/tables/table3.xml" Id="R2b045b9137224737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21" t="str">
        <x:v>Hospitality profitability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22" t="str">
        <x:v>Synthetic CY2025. NZD, GST exclusive.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23" t="str">
        <x:v>Annual measure</x:v>
      </x:c>
      <x:c r="B5" s="23" t="str">
        <x:v>NZD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2" t="str">
        <x:v>Revenue</x:v>
      </x:c>
      <x:c r="B6" s="10" t="n">
        <x:f>SUM(B13:B24)</x:f>
        <x:v>465948</x:v>
      </x:c>
      <x:c r="C6" s="2"/>
      <x:c r="D6" s="2" t="str">
        <x:v>Contribution = revenue less food cost and channel fees.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2" customHeight="1">
      <x:c r="A7" s="2" t="str">
        <x:v>Contribution</x:v>
      </x:c>
      <x:c r="B7" s="10" t="n">
        <x:f>SUM(F13:F24)</x:f>
        <x:v>272730.76999999996</x:v>
      </x:c>
      <x:c r="C7" s="2"/>
      <x:c r="D7" s="2" t="str">
        <x:v>Operating surplus = contribution less assumed overhead.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2" customHeight="1">
      <x:c r="A8" s="2" t="str">
        <x:v>Operating surplus</x:v>
      </x:c>
      <x:c r="B8" s="10" t="n">
        <x:f>SUM(I13:I24)</x:f>
        <x:v>-84269.23000000001</x:v>
      </x:c>
      <x:c r="C8" s="2"/>
      <x:c r="D8" s="2" t="str">
        <x:v>Excludes owner pay, interest, depreciation and income tax.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2" customHeight="1">
      <x:c r="A9" s="2"/>
      <x:c r="B9" s="2"/>
      <x:c r="C9" s="2"/>
      <x:c r="D9" s="2" t="str">
        <x:v>Operating surplus is not cash flow or owner take-home pay.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6" customHeight="1">
      <x:c r="A12" s="16" t="str">
        <x:v>Month</x:v>
      </x:c>
      <x:c r="B12" s="16" t="str">
        <x:v>Revenue</x:v>
      </x:c>
      <x:c r="C12" s="16" t="str">
        <x:v>Food cost</x:v>
      </x:c>
      <x:c r="D12" s="16" t="str">
        <x:v>Channel fees</x:v>
      </x:c>
      <x:c r="E12" s="16" t="str">
        <x:v>Gross profit</x:v>
      </x:c>
      <x:c r="F12" s="16" t="str">
        <x:v>Contribution</x:v>
      </x:c>
      <x:c r="G12" s="16" t="str">
        <x:v>Margin</x:v>
      </x:c>
      <x:c r="H12" s="16" t="str">
        <x:v>Overhead</x:v>
      </x:c>
      <x:c r="I12" s="16" t="str">
        <x:v>Operating surplus</x:v>
      </x:c>
      <x:c r="J12" s="2"/>
      <x:c r="K12" s="16" t="str">
        <x:v>Channel</x:v>
      </x:c>
      <x:c r="L12" s="16" t="str">
        <x:v>Revenue</x:v>
      </x:c>
      <x:c r="M12" s="16" t="str">
        <x:v>Contribution</x:v>
      </x:c>
      <x:c r="N12" s="2"/>
      <x:c r="O12" s="2"/>
      <x:c r="P12" s="2"/>
    </x:row>
    <x:row r="13" ht="22" customHeight="1">
      <x:c r="A13" s="3" t="n">
        <x:f>Inputs!I2</x:f>
        <x:v>45658</x:v>
      </x:c>
      <x:c r="B13" s="10" t="n">
        <x:f>SUMIFS('Sales calculation'!$D$2:$D$145,'Sales calculation'!$A$2:$A$145,A13)</x:f>
        <x:v>44749</x:v>
      </x:c>
      <x:c r="C13" s="10" t="n">
        <x:f>SUMIFS('Sales calculation'!$E$2:$E$145,'Sales calculation'!$A$2:$A$145,A13)</x:f>
        <x:v>14066</x:v>
      </x:c>
      <x:c r="D13" s="10" t="n">
        <x:f>SUMIFS('Sales calculation'!$F$2:$F$145,'Sales calculation'!$A$2:$A$145,A13)</x:f>
        <x:v>4470.55</x:v>
      </x:c>
      <x:c r="E13" s="10" t="n">
        <x:f>SUMIFS('Sales calculation'!$G$2:$G$145,'Sales calculation'!$A$2:$A$145,A13)</x:f>
        <x:v>30683</x:v>
      </x:c>
      <x:c r="F13" s="10" t="n">
        <x:f>SUMIFS('Sales calculation'!$H$2:$H$145,'Sales calculation'!$A$2:$A$145,A13)</x:f>
        <x:v>26212.45</x:v>
      </x:c>
      <x:c r="G13" s="24" t="n">
        <x:f>IF(B13=0,"n.a.",F13/B13)</x:f>
        <x:v>0.5857661623723436</x:v>
      </x:c>
      <x:c r="H13" s="10" t="n">
        <x:f>Inputs!J2</x:f>
        <x:v>29500</x:v>
      </x:c>
      <x:c r="I13" s="10" t="n">
        <x:f>F13-H13</x:f>
        <x:v>-3287.5499999999993</x:v>
      </x:c>
      <x:c r="J13" s="2"/>
      <x:c r="K13" s="2" t="str">
        <x:v>Dine-in</x:v>
      </x:c>
      <x:c r="L13" s="10" t="n">
        <x:f>SUMIFS('Sales calculation'!$D$2:$D$145,'Sales calculation'!$B$2:$B$145,K13)</x:f>
        <x:v>192904</x:v>
      </x:c>
      <x:c r="M13" s="10" t="n">
        <x:f>SUMIFS('Sales calculation'!$H$2:$H$145,'Sales calculation'!$B$2:$B$145,K13)</x:f>
        <x:v>129411.89999999998</x:v>
      </x:c>
      <x:c r="N13" s="2"/>
      <x:c r="O13" s="2"/>
      <x:c r="P13" s="2"/>
    </x:row>
    <x:row r="14" ht="22" customHeight="1">
      <x:c r="A14" s="3" t="n">
        <x:f>Inputs!I3</x:f>
        <x:v>45689</x:v>
      </x:c>
      <x:c r="B14" s="10" t="n">
        <x:f>SUMIFS('Sales calculation'!$D$2:$D$145,'Sales calculation'!$A$2:$A$145,A14)</x:f>
        <x:v>42181</x:v>
      </x:c>
      <x:c r="C14" s="10" t="n">
        <x:f>SUMIFS('Sales calculation'!$E$2:$E$145,'Sales calculation'!$A$2:$A$145,A14)</x:f>
        <x:v>13223.5</x:v>
      </x:c>
      <x:c r="D14" s="10" t="n">
        <x:f>SUMIFS('Sales calculation'!$F$2:$F$145,'Sales calculation'!$A$2:$A$145,A14)</x:f>
        <x:v>4433.610000000001</x:v>
      </x:c>
      <x:c r="E14" s="10" t="n">
        <x:f>SUMIFS('Sales calculation'!$G$2:$G$145,'Sales calculation'!$A$2:$A$145,A14)</x:f>
        <x:v>28957.5</x:v>
      </x:c>
      <x:c r="F14" s="10" t="n">
        <x:f>SUMIFS('Sales calculation'!$H$2:$H$145,'Sales calculation'!$A$2:$A$145,A14)</x:f>
        <x:v>24523.89</x:v>
      </x:c>
      <x:c r="G14" s="24" t="n">
        <x:f>IF(B14=0,"n.a.",F14/B14)</x:f>
        <x:v>0.5813966003650933</x:v>
      </x:c>
      <x:c r="H14" s="10" t="n">
        <x:f>Inputs!J3</x:f>
        <x:v>29500</x:v>
      </x:c>
      <x:c r="I14" s="10" t="n">
        <x:f>F14-H14</x:f>
        <x:v>-4976.110000000001</x:v>
      </x:c>
      <x:c r="J14" s="2"/>
      <x:c r="K14" s="2" t="str">
        <x:v>Pickup</x:v>
      </x:c>
      <x:c r="L14" s="10" t="n">
        <x:f>SUMIFS('Sales calculation'!$D$2:$D$145,'Sales calculation'!$B$2:$B$145,K14)</x:f>
        <x:v>122367</x:v>
      </x:c>
      <x:c r="M14" s="10" t="n">
        <x:f>SUMIFS('Sales calculation'!$H$2:$H$145,'Sales calculation'!$B$2:$B$145,K14)</x:f>
        <x:v>82148.42999999998</x:v>
      </x:c>
      <x:c r="N14" s="2"/>
      <x:c r="O14" s="2"/>
      <x:c r="P14" s="2"/>
    </x:row>
    <x:row r="15" ht="22" customHeight="1">
      <x:c r="A15" s="3" t="n">
        <x:f>Inputs!I4</x:f>
        <x:v>45717</x:v>
      </x:c>
      <x:c r="B15" s="10" t="n">
        <x:f>SUMIFS('Sales calculation'!$D$2:$D$145,'Sales calculation'!$A$2:$A$145,A15)</x:f>
        <x:v>40784</x:v>
      </x:c>
      <x:c r="C15" s="10" t="n">
        <x:f>SUMIFS('Sales calculation'!$E$2:$E$145,'Sales calculation'!$A$2:$A$145,A15)</x:f>
        <x:v>12822.5</x:v>
      </x:c>
      <x:c r="D15" s="10" t="n">
        <x:f>SUMIFS('Sales calculation'!$F$2:$F$145,'Sales calculation'!$A$2:$A$145,A15)</x:f>
        <x:v>4093.08</x:v>
      </x:c>
      <x:c r="E15" s="10" t="n">
        <x:f>SUMIFS('Sales calculation'!$G$2:$G$145,'Sales calculation'!$A$2:$A$145,A15)</x:f>
        <x:v>27961.5</x:v>
      </x:c>
      <x:c r="F15" s="10" t="n">
        <x:f>SUMIFS('Sales calculation'!$H$2:$H$145,'Sales calculation'!$A$2:$A$145,A15)</x:f>
        <x:v>23868.420000000002</x:v>
      </x:c>
      <x:c r="G15" s="24" t="n">
        <x:f>IF(B15=0,"n.a.",F15/B15)</x:f>
        <x:v>0.5852397999215379</x:v>
      </x:c>
      <x:c r="H15" s="10" t="n">
        <x:f>Inputs!J4</x:f>
        <x:v>29500</x:v>
      </x:c>
      <x:c r="I15" s="10" t="n">
        <x:f>F15-H15</x:f>
        <x:v>-5631.579999999998</x:v>
      </x:c>
      <x:c r="J15" s="2"/>
      <x:c r="K15" s="2" t="str">
        <x:v>Delivery</x:v>
      </x:c>
      <x:c r="L15" s="10" t="n">
        <x:f>SUMIFS('Sales calculation'!$D$2:$D$145,'Sales calculation'!$B$2:$B$145,K15)</x:f>
        <x:v>150677</x:v>
      </x:c>
      <x:c r="M15" s="10" t="n">
        <x:f>SUMIFS('Sales calculation'!$H$2:$H$145,'Sales calculation'!$B$2:$B$145,K15)</x:f>
        <x:v>61170.439999999995</x:v>
      </x:c>
      <x:c r="N15" s="2"/>
      <x:c r="O15" s="2"/>
      <x:c r="P15" s="2"/>
    </x:row>
    <x:row r="16" ht="22" customHeight="1">
      <x:c r="A16" s="3" t="n">
        <x:f>Inputs!I5</x:f>
        <x:v>45748</x:v>
      </x:c>
      <x:c r="B16" s="10" t="n">
        <x:f>SUMIFS('Sales calculation'!$D$2:$D$145,'Sales calculation'!$A$2:$A$145,A16)</x:f>
        <x:v>38218</x:v>
      </x:c>
      <x:c r="C16" s="10" t="n">
        <x:f>SUMIFS('Sales calculation'!$E$2:$E$145,'Sales calculation'!$A$2:$A$145,A16)</x:f>
        <x:v>12006</x:v>
      </x:c>
      <x:c r="D16" s="10" t="n">
        <x:f>SUMIFS('Sales calculation'!$F$2:$F$145,'Sales calculation'!$A$2:$A$145,A16)</x:f>
        <x:v>3708.7699999999995</x:v>
      </x:c>
      <x:c r="E16" s="10" t="n">
        <x:f>SUMIFS('Sales calculation'!$G$2:$G$145,'Sales calculation'!$A$2:$A$145,A16)</x:f>
        <x:v>26212</x:v>
      </x:c>
      <x:c r="F16" s="10" t="n">
        <x:f>SUMIFS('Sales calculation'!$H$2:$H$145,'Sales calculation'!$A$2:$A$145,A16)</x:f>
        <x:v>22503.23</x:v>
      </x:c>
      <x:c r="G16" s="24" t="n">
        <x:f>IF(B16=0,"n.a.",F16/B16)</x:f>
        <x:v>0.5888123397352033</x:v>
      </x:c>
      <x:c r="H16" s="10" t="n">
        <x:f>Inputs!J5</x:f>
        <x:v>29500</x:v>
      </x:c>
      <x:c r="I16" s="10" t="n">
        <x:f>F16-H16</x:f>
        <x:v>-6996.77</x:v>
      </x:c>
      <x:c r="J16" s="2"/>
      <x:c r="K16" s="2"/>
      <x:c r="L16" s="2"/>
      <x:c r="M16" s="2"/>
      <x:c r="N16" s="2"/>
      <x:c r="O16" s="2"/>
      <x:c r="P16" s="2"/>
    </x:row>
    <x:row r="17" ht="22" customHeight="1">
      <x:c r="A17" s="3" t="n">
        <x:f>Inputs!I6</x:f>
        <x:v>45778</x:v>
      </x:c>
      <x:c r="B17" s="10" t="n">
        <x:f>SUMIFS('Sales calculation'!$D$2:$D$145,'Sales calculation'!$A$2:$A$145,A17)</x:f>
        <x:v>34727</x:v>
      </x:c>
      <x:c r="C17" s="10" t="n">
        <x:f>SUMIFS('Sales calculation'!$E$2:$E$145,'Sales calculation'!$A$2:$A$145,A17)</x:f>
        <x:v>10893.5</x:v>
      </x:c>
      <x:c r="D17" s="10" t="n">
        <x:f>SUMIFS('Sales calculation'!$F$2:$F$145,'Sales calculation'!$A$2:$A$145,A17)</x:f>
        <x:v>3460.5600000000004</x:v>
      </x:c>
      <x:c r="E17" s="10" t="n">
        <x:f>SUMIFS('Sales calculation'!$G$2:$G$145,'Sales calculation'!$A$2:$A$145,A17)</x:f>
        <x:v>23833.5</x:v>
      </x:c>
      <x:c r="F17" s="10" t="n">
        <x:f>SUMIFS('Sales calculation'!$H$2:$H$145,'Sales calculation'!$A$2:$A$145,A17)</x:f>
        <x:v>20372.94</x:v>
      </x:c>
      <x:c r="G17" s="24" t="n">
        <x:f>IF(B17=0,"n.a.",F17/B17)</x:f>
        <x:v>0.5866599475912114</x:v>
      </x:c>
      <x:c r="H17" s="10" t="n">
        <x:f>Inputs!J6</x:f>
        <x:v>29500</x:v>
      </x:c>
      <x:c r="I17" s="10" t="n">
        <x:f>F17-H17</x:f>
        <x:v>-9127.060000000001</x:v>
      </x:c>
      <x:c r="J17" s="2"/>
      <x:c r="K17" s="2"/>
      <x:c r="L17" s="2"/>
      <x:c r="M17" s="2"/>
      <x:c r="N17" s="2"/>
      <x:c r="O17" s="2"/>
      <x:c r="P17" s="2"/>
    </x:row>
    <x:row r="18" ht="22" customHeight="1">
      <x:c r="A18" s="3" t="n">
        <x:f>Inputs!I7</x:f>
        <x:v>45809</x:v>
      </x:c>
      <x:c r="B18" s="10" t="n">
        <x:f>SUMIFS('Sales calculation'!$D$2:$D$145,'Sales calculation'!$A$2:$A$145,A18)</x:f>
        <x:v>32664</x:v>
      </x:c>
      <x:c r="C18" s="10" t="n">
        <x:f>SUMIFS('Sales calculation'!$E$2:$E$145,'Sales calculation'!$A$2:$A$145,A18)</x:f>
        <x:v>10269</x:v>
      </x:c>
      <x:c r="D18" s="10" t="n">
        <x:f>SUMIFS('Sales calculation'!$F$2:$F$145,'Sales calculation'!$A$2:$A$145,A18)</x:f>
        <x:v>3204.1000000000004</x:v>
      </x:c>
      <x:c r="E18" s="10" t="n">
        <x:f>SUMIFS('Sales calculation'!$G$2:$G$145,'Sales calculation'!$A$2:$A$145,A18)</x:f>
        <x:v>22395</x:v>
      </x:c>
      <x:c r="F18" s="10" t="n">
        <x:f>SUMIFS('Sales calculation'!$H$2:$H$145,'Sales calculation'!$A$2:$A$145,A18)</x:f>
        <x:v>19190.9</x:v>
      </x:c>
      <x:c r="G18" s="24" t="n">
        <x:f>IF(B18=0,"n.a.",F18/B18)</x:f>
        <x:v>0.5875244917952487</x:v>
      </x:c>
      <x:c r="H18" s="10" t="n">
        <x:f>Inputs!J7</x:f>
        <x:v>29500</x:v>
      </x:c>
      <x:c r="I18" s="10" t="n">
        <x:f>F18-H18</x:f>
        <x:v>-10309.099999999999</x:v>
      </x:c>
      <x:c r="J18" s="2"/>
      <x:c r="K18" s="2" t="str">
        <x:v>Interpretation: outputs/findings.md</x:v>
      </x:c>
      <x:c r="L18" s="2"/>
      <x:c r="M18" s="2"/>
      <x:c r="N18" s="2"/>
      <x:c r="O18" s="2"/>
      <x:c r="P18" s="2"/>
    </x:row>
    <x:row r="19" ht="22" customHeight="1">
      <x:c r="A19" s="3" t="n">
        <x:f>Inputs!I8</x:f>
        <x:v>45839</x:v>
      </x:c>
      <x:c r="B19" s="10" t="n">
        <x:f>SUMIFS('Sales calculation'!$D$2:$D$145,'Sales calculation'!$A$2:$A$145,A19)</x:f>
        <x:v>31920</x:v>
      </x:c>
      <x:c r="C19" s="10" t="n">
        <x:f>SUMIFS('Sales calculation'!$E$2:$E$145,'Sales calculation'!$A$2:$A$145,A19)</x:f>
        <x:v>10037</x:v>
      </x:c>
      <x:c r="D19" s="10" t="n">
        <x:f>SUMIFS('Sales calculation'!$F$2:$F$145,'Sales calculation'!$A$2:$A$145,A19)</x:f>
        <x:v>3200.36</x:v>
      </x:c>
      <x:c r="E19" s="10" t="n">
        <x:f>SUMIFS('Sales calculation'!$G$2:$G$145,'Sales calculation'!$A$2:$A$145,A19)</x:f>
        <x:v>21883</x:v>
      </x:c>
      <x:c r="F19" s="10" t="n">
        <x:f>SUMIFS('Sales calculation'!$H$2:$H$145,'Sales calculation'!$A$2:$A$145,A19)</x:f>
        <x:v>18682.64</x:v>
      </x:c>
      <x:c r="G19" s="24" t="n">
        <x:f>IF(B19=0,"n.a.",F19/B19)</x:f>
        <x:v>0.5852957393483709</x:v>
      </x:c>
      <x:c r="H19" s="10" t="n">
        <x:f>Inputs!J8</x:f>
        <x:v>29500</x:v>
      </x:c>
      <x:c r="I19" s="10" t="n">
        <x:f>F19-H19</x:f>
        <x:v>-10817.36</x:v>
      </x:c>
      <x:c r="J19" s="2"/>
      <x:c r="K19" s="2"/>
      <x:c r="L19" s="2"/>
      <x:c r="M19" s="2"/>
      <x:c r="N19" s="2"/>
      <x:c r="O19" s="2"/>
      <x:c r="P19" s="2"/>
    </x:row>
    <x:row r="20" ht="22" customHeight="1">
      <x:c r="A20" s="3" t="n">
        <x:f>Inputs!I9</x:f>
        <x:v>45870</x:v>
      </x:c>
      <x:c r="B20" s="10" t="n">
        <x:f>SUMIFS('Sales calculation'!$D$2:$D$145,'Sales calculation'!$A$2:$A$145,A20)</x:f>
        <x:v>32814</x:v>
      </x:c>
      <x:c r="C20" s="10" t="n">
        <x:f>SUMIFS('Sales calculation'!$E$2:$E$145,'Sales calculation'!$A$2:$A$145,A20)</x:f>
        <x:v>10304</x:v>
      </x:c>
      <x:c r="D20" s="10" t="n">
        <x:f>SUMIFS('Sales calculation'!$F$2:$F$145,'Sales calculation'!$A$2:$A$145,A20)</x:f>
        <x:v>3404.83</x:v>
      </x:c>
      <x:c r="E20" s="10" t="n">
        <x:f>SUMIFS('Sales calculation'!$G$2:$G$145,'Sales calculation'!$A$2:$A$145,A20)</x:f>
        <x:v>22510</x:v>
      </x:c>
      <x:c r="F20" s="10" t="n">
        <x:f>SUMIFS('Sales calculation'!$H$2:$H$145,'Sales calculation'!$A$2:$A$145,A20)</x:f>
        <x:v>19105.17</x:v>
      </x:c>
      <x:c r="G20" s="24" t="n">
        <x:f>IF(B20=0,"n.a.",F20/B20)</x:f>
        <x:v>0.5822261839458767</x:v>
      </x:c>
      <x:c r="H20" s="10" t="n">
        <x:f>Inputs!J9</x:f>
        <x:v>29500</x:v>
      </x:c>
      <x:c r="I20" s="10" t="n">
        <x:f>F20-H20</x:f>
        <x:v>-10394.830000000002</x:v>
      </x:c>
      <x:c r="J20" s="2"/>
      <x:c r="K20" s="2" t="str">
        <x:v>Loss follows assumed costs and volume.</x:v>
      </x:c>
      <x:c r="L20" s="2"/>
      <x:c r="M20" s="2"/>
      <x:c r="N20" s="2"/>
      <x:c r="O20" s="2"/>
      <x:c r="P20" s="2"/>
    </x:row>
    <x:row r="21" ht="22" customHeight="1">
      <x:c r="A21" s="3" t="n">
        <x:f>Inputs!I10</x:f>
        <x:v>45901</x:v>
      </x:c>
      <x:c r="B21" s="10" t="n">
        <x:f>SUMIFS('Sales calculation'!$D$2:$D$145,'Sales calculation'!$A$2:$A$145,A21)</x:f>
        <x:v>37321</x:v>
      </x:c>
      <x:c r="C21" s="10" t="n">
        <x:f>SUMIFS('Sales calculation'!$E$2:$E$145,'Sales calculation'!$A$2:$A$145,A21)</x:f>
        <x:v>11707</x:v>
      </x:c>
      <x:c r="D21" s="10" t="n">
        <x:f>SUMIFS('Sales calculation'!$F$2:$F$145,'Sales calculation'!$A$2:$A$145,A21)</x:f>
        <x:v>3688.41</x:v>
      </x:c>
      <x:c r="E21" s="10" t="n">
        <x:f>SUMIFS('Sales calculation'!$G$2:$G$145,'Sales calculation'!$A$2:$A$145,A21)</x:f>
        <x:v>25614</x:v>
      </x:c>
      <x:c r="F21" s="10" t="n">
        <x:f>SUMIFS('Sales calculation'!$H$2:$H$145,'Sales calculation'!$A$2:$A$145,A21)</x:f>
        <x:v>21925.59</x:v>
      </x:c>
      <x:c r="G21" s="24" t="n">
        <x:f>IF(B21=0,"n.a.",F21/B21)</x:f>
        <x:v>0.5874866697033841</x:v>
      </x:c>
      <x:c r="H21" s="10" t="n">
        <x:f>Inputs!J10</x:f>
        <x:v>29500</x:v>
      </x:c>
      <x:c r="I21" s="10" t="n">
        <x:f>F21-H21</x:f>
        <x:v>-7574.41</x:v>
      </x:c>
      <x:c r="J21" s="2"/>
      <x:c r="K21" s="2"/>
      <x:c r="L21" s="2"/>
      <x:c r="M21" s="2"/>
      <x:c r="N21" s="2"/>
      <x:c r="O21" s="2"/>
      <x:c r="P21" s="2"/>
    </x:row>
    <x:row r="22" ht="22" customHeight="1">
      <x:c r="A22" s="3" t="n">
        <x:f>Inputs!I11</x:f>
        <x:v>45931</x:v>
      </x:c>
      <x:c r="B22" s="10" t="n">
        <x:f>SUMIFS('Sales calculation'!$D$2:$D$145,'Sales calculation'!$A$2:$A$145,A22)</x:f>
        <x:v>40142</x:v>
      </x:c>
      <x:c r="C22" s="10" t="n">
        <x:f>SUMIFS('Sales calculation'!$E$2:$E$145,'Sales calculation'!$A$2:$A$145,A22)</x:f>
        <x:v>12576.5</x:v>
      </x:c>
      <x:c r="D22" s="10" t="n">
        <x:f>SUMIFS('Sales calculation'!$F$2:$F$145,'Sales calculation'!$A$2:$A$145,A22)</x:f>
        <x:v>4014.8100000000004</x:v>
      </x:c>
      <x:c r="E22" s="10" t="n">
        <x:f>SUMIFS('Sales calculation'!$G$2:$G$145,'Sales calculation'!$A$2:$A$145,A22)</x:f>
        <x:v>27565.5</x:v>
      </x:c>
      <x:c r="F22" s="10" t="n">
        <x:f>SUMIFS('Sales calculation'!$H$2:$H$145,'Sales calculation'!$A$2:$A$145,A22)</x:f>
        <x:v>23550.690000000002</x:v>
      </x:c>
      <x:c r="G22" s="24" t="n">
        <x:f>IF(B22=0,"n.a.",F22/B22)</x:f>
        <x:v>0.5866845199541628</x:v>
      </x:c>
      <x:c r="H22" s="10" t="n">
        <x:f>Inputs!J11</x:f>
        <x:v>29500</x:v>
      </x:c>
      <x:c r="I22" s="10" t="n">
        <x:f>F22-H22</x:f>
        <x:v>-5949.309999999998</x:v>
      </x:c>
      <x:c r="J22" s="2"/>
      <x:c r="K22" s="2" t="str">
        <x:v>Try changing one overhead input.</x:v>
      </x:c>
      <x:c r="L22" s="2"/>
      <x:c r="M22" s="2"/>
      <x:c r="N22" s="2"/>
      <x:c r="O22" s="2"/>
      <x:c r="P22" s="2"/>
    </x:row>
    <x:row r="23" ht="22" customHeight="1">
      <x:c r="A23" s="3" t="n">
        <x:f>Inputs!I12</x:f>
        <x:v>45962</x:v>
      </x:c>
      <x:c r="B23" s="10" t="n">
        <x:f>SUMIFS('Sales calculation'!$D$2:$D$145,'Sales calculation'!$A$2:$A$145,A23)</x:f>
        <x:v>43300</x:v>
      </x:c>
      <x:c r="C23" s="10" t="n">
        <x:f>SUMIFS('Sales calculation'!$E$2:$E$145,'Sales calculation'!$A$2:$A$145,A23)</x:f>
        <x:v>13599</x:v>
      </x:c>
      <x:c r="D23" s="10" t="n">
        <x:f>SUMIFS('Sales calculation'!$F$2:$F$145,'Sales calculation'!$A$2:$A$145,A23)</x:f>
        <x:v>4476.37</x:v>
      </x:c>
      <x:c r="E23" s="10" t="n">
        <x:f>SUMIFS('Sales calculation'!$G$2:$G$145,'Sales calculation'!$A$2:$A$145,A23)</x:f>
        <x:v>29701</x:v>
      </x:c>
      <x:c r="F23" s="10" t="n">
        <x:f>SUMIFS('Sales calculation'!$H$2:$H$145,'Sales calculation'!$A$2:$A$145,A23)</x:f>
        <x:v>25224.629999999997</x:v>
      </x:c>
      <x:c r="G23" s="24" t="n">
        <x:f>IF(B23=0,"n.a.",F23/B23)</x:f>
        <x:v>0.5825549653579676</x:v>
      </x:c>
      <x:c r="H23" s="10" t="n">
        <x:f>Inputs!J12</x:f>
        <x:v>31000</x:v>
      </x:c>
      <x:c r="I23" s="10" t="n">
        <x:f>F23-H23</x:f>
        <x:v>-5775.370000000003</x:v>
      </x:c>
      <x:c r="J23" s="2"/>
      <x:c r="K23" s="2"/>
      <x:c r="L23" s="2"/>
      <x:c r="M23" s="2"/>
      <x:c r="N23" s="2"/>
      <x:c r="O23" s="2"/>
      <x:c r="P23" s="2"/>
    </x:row>
    <x:row r="24" ht="22" customHeight="1">
      <x:c r="A24" s="3" t="n">
        <x:f>Inputs!I13</x:f>
        <x:v>45992</x:v>
      </x:c>
      <x:c r="B24" s="10" t="n">
        <x:f>SUMIFS('Sales calculation'!$D$2:$D$145,'Sales calculation'!$A$2:$A$145,A24)</x:f>
        <x:v>47128</x:v>
      </x:c>
      <x:c r="C24" s="10" t="n">
        <x:f>SUMIFS('Sales calculation'!$E$2:$E$145,'Sales calculation'!$A$2:$A$145,A24)</x:f>
        <x:v>14794.5</x:v>
      </x:c>
      <x:c r="D24" s="10" t="n">
        <x:f>SUMIFS('Sales calculation'!$F$2:$F$145,'Sales calculation'!$A$2:$A$145,A24)</x:f>
        <x:v>4763.28</x:v>
      </x:c>
      <x:c r="E24" s="10" t="n">
        <x:f>SUMIFS('Sales calculation'!$G$2:$G$145,'Sales calculation'!$A$2:$A$145,A24)</x:f>
        <x:v>32333.5</x:v>
      </x:c>
      <x:c r="F24" s="10" t="n">
        <x:f>SUMIFS('Sales calculation'!$H$2:$H$145,'Sales calculation'!$A$2:$A$145,A24)</x:f>
        <x:v>27570.22</x:v>
      </x:c>
      <x:c r="G24" s="24" t="n">
        <x:f>IF(B24=0,"n.a.",F24/B24)</x:f>
        <x:v>0.5850072143948396</x:v>
      </x:c>
      <x:c r="H24" s="10" t="n">
        <x:f>Inputs!J13</x:f>
        <x:v>31000</x:v>
      </x:c>
      <x:c r="I24" s="10" t="n">
        <x:f>F24-H24</x:f>
        <x:v>-3429.779999999999</x:v>
      </x:c>
      <x:c r="J24" s="2"/>
      <x:c r="K24" s="2"/>
      <x:c r="L24" s="2"/>
      <x:c r="M24" s="2"/>
      <x:c r="N24" s="2"/>
      <x:c r="O24" s="2"/>
      <x:c r="P24" s="2"/>
    </x:row>
    <x:row r="25" ht="22" customHeight="1">
      <x:c r="A25" s="27" t="str">
        <x:v>Total</x:v>
      </x:c>
      <x:c r="B25" s="28" t="n">
        <x:f>SUM(B13:B24)</x:f>
        <x:v>465948</x:v>
      </x:c>
      <x:c r="C25" s="28" t="n">
        <x:f>SUM(C13:C24)</x:f>
        <x:v>146298.5</x:v>
      </x:c>
      <x:c r="D25" s="28" t="n">
        <x:f>SUM(D13:D24)</x:f>
        <x:v>46918.73</x:v>
      </x:c>
      <x:c r="E25" s="28" t="n">
        <x:f>SUM(E13:E24)</x:f>
        <x:v>319649.5</x:v>
      </x:c>
      <x:c r="F25" s="28" t="n">
        <x:f>SUM(F13:F24)</x:f>
        <x:v>272730.76999999996</x:v>
      </x:c>
      <x:c r="G25" s="29" t="n">
        <x:f>IF(B25=0,"n.a.",F25/B25)</x:f>
        <x:v>0.5853244782679612</x:v>
      </x:c>
      <x:c r="H25" s="28" t="n">
        <x:f>SUM(H13:H24)</x:f>
        <x:v>357000</x:v>
      </x:c>
      <x:c r="I25" s="28" t="n">
        <x:f>SUM(I13:I24)</x:f>
        <x:v>-84269.23000000001</x:v>
      </x:c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 t="str">
        <x:v>Month</x:v>
      </x:c>
      <x:c r="L27" s="2" t="str">
        <x:v>Contribution</x:v>
      </x:c>
      <x:c r="M27" s="2" t="str">
        <x:v>Overhead</x:v>
      </x:c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 t="str">
        <x:f>TEXT(A13,"mmm")</x:f>
        <x:v>Jan</x:v>
      </x:c>
      <x:c r="L28" s="2" t="n">
        <x:f>F13</x:f>
        <x:v>26212.45</x:v>
      </x:c>
      <x:c r="M28" s="2" t="n">
        <x:f>H13</x:f>
        <x:v>29500</x:v>
      </x:c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 t="str">
        <x:f>TEXT(A14,"mmm")</x:f>
        <x:v>Feb</x:v>
      </x:c>
      <x:c r="L29" s="2" t="n">
        <x:f>F14</x:f>
        <x:v>24523.89</x:v>
      </x:c>
      <x:c r="M29" s="2" t="n">
        <x:f>H14</x:f>
        <x:v>29500</x:v>
      </x:c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 t="str">
        <x:f>TEXT(A15,"mmm")</x:f>
        <x:v>Mar</x:v>
      </x:c>
      <x:c r="L30" s="2" t="n">
        <x:f>F15</x:f>
        <x:v>23868.420000000002</x:v>
      </x:c>
      <x:c r="M30" s="2" t="n">
        <x:f>H15</x:f>
        <x:v>29500</x:v>
      </x:c>
      <x:c r="N30" s="2"/>
      <x:c r="O30" s="2"/>
      <x:c r="P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 t="str">
        <x:f>TEXT(A16,"mmm")</x:f>
        <x:v>Apr</x:v>
      </x:c>
      <x:c r="L31" s="2" t="n">
        <x:f>F16</x:f>
        <x:v>22503.23</x:v>
      </x:c>
      <x:c r="M31" s="2" t="n">
        <x:f>H16</x:f>
        <x:v>29500</x:v>
      </x:c>
      <x:c r="N31" s="2"/>
      <x:c r="O31" s="2"/>
      <x:c r="P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 t="str">
        <x:f>TEXT(A17,"mmm")</x:f>
        <x:v>May</x:v>
      </x:c>
      <x:c r="L32" s="2" t="n">
        <x:f>F17</x:f>
        <x:v>20372.94</x:v>
      </x:c>
      <x:c r="M32" s="2" t="n">
        <x:f>H17</x:f>
        <x:v>29500</x:v>
      </x:c>
      <x:c r="N32" s="2"/>
      <x:c r="O32" s="2"/>
      <x:c r="P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 t="str">
        <x:f>TEXT(A18,"mmm")</x:f>
        <x:v>Jun</x:v>
      </x:c>
      <x:c r="L33" s="2" t="n">
        <x:f>F18</x:f>
        <x:v>19190.9</x:v>
      </x:c>
      <x:c r="M33" s="2" t="n">
        <x:f>H18</x:f>
        <x:v>29500</x:v>
      </x:c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 t="str">
        <x:f>TEXT(A19,"mmm")</x:f>
        <x:v>Jul</x:v>
      </x:c>
      <x:c r="L34" s="2" t="n">
        <x:f>F19</x:f>
        <x:v>18682.64</x:v>
      </x:c>
      <x:c r="M34" s="2" t="n">
        <x:f>H19</x:f>
        <x:v>29500</x:v>
      </x:c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 t="str">
        <x:f>TEXT(A20,"mmm")</x:f>
        <x:v>Aug</x:v>
      </x:c>
      <x:c r="L35" s="2" t="n">
        <x:f>F20</x:f>
        <x:v>19105.17</x:v>
      </x:c>
      <x:c r="M35" s="2" t="n">
        <x:f>H20</x:f>
        <x:v>29500</x:v>
      </x:c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 t="str">
        <x:f>TEXT(A21,"mmm")</x:f>
        <x:v>Sep</x:v>
      </x:c>
      <x:c r="L36" s="2" t="n">
        <x:f>F21</x:f>
        <x:v>21925.59</x:v>
      </x:c>
      <x:c r="M36" s="2" t="n">
        <x:f>H21</x:f>
        <x:v>29500</x:v>
      </x:c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 t="str">
        <x:f>TEXT(A22,"mmm")</x:f>
        <x:v>Oct</x:v>
      </x:c>
      <x:c r="L37" s="2" t="n">
        <x:f>F22</x:f>
        <x:v>23550.690000000002</x:v>
      </x:c>
      <x:c r="M37" s="2" t="n">
        <x:f>H22</x:f>
        <x:v>29500</x:v>
      </x:c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 t="str">
        <x:f>TEXT(A23,"mmm")</x:f>
        <x:v>Nov</x:v>
      </x:c>
      <x:c r="L38" s="2" t="n">
        <x:f>F23</x:f>
        <x:v>25224.629999999997</x:v>
      </x:c>
      <x:c r="M38" s="2" t="n">
        <x:f>H23</x:f>
        <x:v>31000</x:v>
      </x:c>
      <x:c r="N38" s="2"/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 t="str">
        <x:f>TEXT(A24,"mmm")</x:f>
        <x:v>Dec</x:v>
      </x:c>
      <x:c r="L39" s="2" t="n">
        <x:f>F24</x:f>
        <x:v>27570.22</x:v>
      </x:c>
      <x:c r="M39" s="2" t="n">
        <x:f>H24</x:f>
        <x:v>31000</x:v>
      </x:c>
      <x:c r="N39" s="2"/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22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2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22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2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2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2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2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22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2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</x:sheetData>
  <x:conditionalFormatting sqref="I13:I24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857025d6fe341c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6" customHeight="1">
      <x:c r="A1" s="16" t="str">
        <x:v>Month</x:v>
      </x:c>
      <x:c r="B1" s="16" t="str">
        <x:v>Channel</x:v>
      </x:c>
      <x:c r="C1" s="16" t="str">
        <x:v>Category</x:v>
      </x:c>
      <x:c r="D1" s="16" t="str">
        <x:v>Revenue</x:v>
      </x:c>
      <x:c r="E1" s="16" t="str">
        <x:v>Food cost</x:v>
      </x:c>
      <x:c r="F1" s="16" t="str">
        <x:v>Channel fee</x:v>
      </x:c>
      <x:c r="G1" s="16" t="str">
        <x:v>Gross profit</x:v>
      </x:c>
      <x:c r="H1" s="16" t="str">
        <x:v>Contribution</x:v>
      </x:c>
      <x:c r="I1" s="16" t="str">
        <x:v>Margin</x:v>
      </x:c>
      <x:c r="J1" s="16" t="str">
        <x:v>Units</x:v>
      </x:c>
      <x:c r="K1" s="2"/>
      <x:c r="L1" s="2"/>
      <x:c r="M1" s="2"/>
      <x:c r="N1" s="2"/>
      <x:c r="O1" s="2"/>
      <x:c r="P1" s="2"/>
    </x:row>
    <x:row r="2" ht="22" customHeight="1">
      <x:c r="A2" s="18" t="n">
        <x:f>Inputs!A2</x:f>
        <x:v>45658</x:v>
      </x:c>
      <x:c r="B2" s="19" t="str">
        <x:f>Inputs!B2</x:f>
        <x:v>Dine-in</x:v>
      </x:c>
      <x:c r="C2" s="19" t="str">
        <x:f>Inputs!C2</x:f>
        <x:v>Mains</x:v>
      </x:c>
      <x:c r="D2" s="20" t="n">
        <x:f>ROUND(Inputs!D2*Inputs!E2,2)</x:f>
        <x:v>11808</x:v>
      </x:c>
      <x:c r="E2" s="20" t="n">
        <x:f>ROUND(Inputs!D2*Inputs!F2,2)</x:f>
        <x:v>3936</x:v>
      </x:c>
      <x:c r="F2" s="10" t="n">
        <x:f>ROUND(D2*ROUND(Inputs!G2*10000,0)/100,0)/100</x:f>
        <x:v>177.12</x:v>
      </x:c>
      <x:c r="G2" s="10" t="n">
        <x:f>D2-E2</x:f>
        <x:v>7872</x:v>
      </x:c>
      <x:c r="H2" s="10" t="n">
        <x:f>G2-F2</x:f>
        <x:v>7694.88</x:v>
      </x:c>
      <x:c r="I2" s="17" t="n">
        <x:f>IF(D2=0,"n.a.",H2/D2)</x:f>
        <x:v>0.6516666666666667</x:v>
      </x:c>
      <x:c r="J2" s="19" t="n">
        <x:f>Inputs!D2</x:f>
        <x:v>492</x:v>
      </x:c>
      <x:c r="K2" s="2"/>
      <x:c r="L2" s="2"/>
      <x:c r="M2" s="2"/>
      <x:c r="N2" s="2"/>
      <x:c r="O2" s="2"/>
      <x:c r="P2" s="2"/>
    </x:row>
    <x:row r="3" ht="22" customHeight="1">
      <x:c r="A3" s="18" t="n">
        <x:f>Inputs!A3</x:f>
        <x:v>45658</x:v>
      </x:c>
      <x:c r="B3" s="19" t="str">
        <x:f>Inputs!B3</x:f>
        <x:v>Dine-in</x:v>
      </x:c>
      <x:c r="C3" s="19" t="str">
        <x:f>Inputs!C3</x:f>
        <x:v>Sides</x:v>
      </x:c>
      <x:c r="D3" s="20" t="n">
        <x:f>ROUND(Inputs!D3*Inputs!E3,2)</x:f>
        <x:v>2511</x:v>
      </x:c>
      <x:c r="E3" s="20" t="n">
        <x:f>ROUND(Inputs!D3*Inputs!F3,2)</x:f>
        <x:v>697.5</x:v>
      </x:c>
      <x:c r="F3" s="10" t="n">
        <x:f>ROUND(D3*ROUND(Inputs!G3*10000,0)/100,0)/100</x:f>
        <x:v>37.67</x:v>
      </x:c>
      <x:c r="G3" s="10" t="n">
        <x:f>D3-E3</x:f>
        <x:v>1813.5</x:v>
      </x:c>
      <x:c r="H3" s="10" t="n">
        <x:f>G3-F3</x:f>
        <x:v>1775.83</x:v>
      </x:c>
      <x:c r="I3" s="17" t="n">
        <x:f>IF(D3=0,"n.a.",H3/D3)</x:f>
        <x:v>0.7072202309836718</x:v>
      </x:c>
      <x:c r="J3" s="19" t="n">
        <x:f>Inputs!D3</x:f>
        <x:v>279</x:v>
      </x:c>
      <x:c r="K3" s="2"/>
      <x:c r="L3" s="2"/>
      <x:c r="M3" s="2"/>
      <x:c r="N3" s="2"/>
      <x:c r="O3" s="2"/>
      <x:c r="P3" s="2"/>
    </x:row>
    <x:row r="4" ht="22" customHeight="1">
      <x:c r="A4" s="18" t="n">
        <x:f>Inputs!A4</x:f>
        <x:v>45658</x:v>
      </x:c>
      <x:c r="B4" s="19" t="str">
        <x:f>Inputs!B4</x:f>
        <x:v>Dine-in</x:v>
      </x:c>
      <x:c r="C4" s="19" t="str">
        <x:f>Inputs!C4</x:f>
        <x:v>Drinks</x:v>
      </x:c>
      <x:c r="D4" s="20" t="n">
        <x:f>ROUND(Inputs!D4*Inputs!E4,2)</x:f>
        <x:v>2070</x:v>
      </x:c>
      <x:c r="E4" s="20" t="n">
        <x:f>ROUND(Inputs!D4*Inputs!F4,2)</x:f>
        <x:v>517.5</x:v>
      </x:c>
      <x:c r="F4" s="10" t="n">
        <x:f>ROUND(D4*ROUND(Inputs!G4*10000,0)/100,0)/100</x:f>
        <x:v>31.05</x:v>
      </x:c>
      <x:c r="G4" s="10" t="n">
        <x:f>D4-E4</x:f>
        <x:v>1552.5</x:v>
      </x:c>
      <x:c r="H4" s="10" t="n">
        <x:f>G4-F4</x:f>
        <x:v>1521.45</x:v>
      </x:c>
      <x:c r="I4" s="17" t="n">
        <x:f>IF(D4=0,"n.a.",H4/D4)</x:f>
        <x:v>0.735</x:v>
      </x:c>
      <x:c r="J4" s="19" t="n">
        <x:f>Inputs!D4</x:f>
        <x:v>345</x:v>
      </x:c>
      <x:c r="K4" s="2"/>
      <x:c r="L4" s="2"/>
      <x:c r="M4" s="2"/>
      <x:c r="N4" s="2"/>
      <x:c r="O4" s="2"/>
      <x:c r="P4" s="2"/>
    </x:row>
    <x:row r="5" ht="22" customHeight="1">
      <x:c r="A5" s="18" t="n">
        <x:f>Inputs!A5</x:f>
        <x:v>45658</x:v>
      </x:c>
      <x:c r="B5" s="19" t="str">
        <x:f>Inputs!B5</x:f>
        <x:v>Dine-in</x:v>
      </x:c>
      <x:c r="C5" s="19" t="str">
        <x:f>Inputs!C5</x:f>
        <x:v>Desserts</x:v>
      </x:c>
      <x:c r="D5" s="20" t="n">
        <x:f>ROUND(Inputs!D5*Inputs!E5,2)</x:f>
        <x:v>1826</x:v>
      </x:c>
      <x:c r="E5" s="20" t="n">
        <x:f>ROUND(Inputs!D5*Inputs!F5,2)</x:f>
        <x:v>581</x:v>
      </x:c>
      <x:c r="F5" s="10" t="n">
        <x:f>ROUND(D5*ROUND(Inputs!G5*10000,0)/100,0)/100</x:f>
        <x:v>27.39</x:v>
      </x:c>
      <x:c r="G5" s="10" t="n">
        <x:f>D5-E5</x:f>
        <x:v>1245</x:v>
      </x:c>
      <x:c r="H5" s="10" t="n">
        <x:f>G5-F5</x:f>
        <x:v>1217.61</x:v>
      </x:c>
      <x:c r="I5" s="17" t="n">
        <x:f>IF(D5=0,"n.a.",H5/D5)</x:f>
        <x:v>0.6668181818181818</x:v>
      </x:c>
      <x:c r="J5" s="19" t="n">
        <x:f>Inputs!D5</x:f>
        <x:v>166</x:v>
      </x:c>
      <x:c r="K5" s="2"/>
      <x:c r="L5" s="2"/>
      <x:c r="M5" s="2"/>
      <x:c r="N5" s="2"/>
      <x:c r="O5" s="2"/>
      <x:c r="P5" s="2"/>
    </x:row>
    <x:row r="6" ht="22" customHeight="1">
      <x:c r="A6" s="18" t="n">
        <x:f>Inputs!A6</x:f>
        <x:v>45658</x:v>
      </x:c>
      <x:c r="B6" s="19" t="str">
        <x:f>Inputs!B6</x:f>
        <x:v>Pickup</x:v>
      </x:c>
      <x:c r="C6" s="19" t="str">
        <x:f>Inputs!C6</x:f>
        <x:v>Mains</x:v>
      </x:c>
      <x:c r="D6" s="20" t="n">
        <x:f>ROUND(Inputs!D6*Inputs!E6,2)</x:f>
        <x:v>7776</x:v>
      </x:c>
      <x:c r="E6" s="20" t="n">
        <x:f>ROUND(Inputs!D6*Inputs!F6,2)</x:f>
        <x:v>2592</x:v>
      </x:c>
      <x:c r="F6" s="10" t="n">
        <x:f>ROUND(D6*ROUND(Inputs!G6*10000,0)/100,0)/100</x:f>
        <x:v>116.64</x:v>
      </x:c>
      <x:c r="G6" s="10" t="n">
        <x:f>D6-E6</x:f>
        <x:v>5184</x:v>
      </x:c>
      <x:c r="H6" s="10" t="n">
        <x:f>G6-F6</x:f>
        <x:v>5067.36</x:v>
      </x:c>
      <x:c r="I6" s="17" t="n">
        <x:f>IF(D6=0,"n.a.",H6/D6)</x:f>
        <x:v>0.6516666666666666</x:v>
      </x:c>
      <x:c r="J6" s="19" t="n">
        <x:f>Inputs!D6</x:f>
        <x:v>324</x:v>
      </x:c>
      <x:c r="K6" s="2"/>
      <x:c r="L6" s="2"/>
      <x:c r="M6" s="2"/>
      <x:c r="N6" s="2"/>
      <x:c r="O6" s="2"/>
      <x:c r="P6" s="2"/>
    </x:row>
    <x:row r="7" ht="22" customHeight="1">
      <x:c r="A7" s="18" t="n">
        <x:f>Inputs!A7</x:f>
        <x:v>45658</x:v>
      </x:c>
      <x:c r="B7" s="19" t="str">
        <x:f>Inputs!B7</x:f>
        <x:v>Pickup</x:v>
      </x:c>
      <x:c r="C7" s="19" t="str">
        <x:f>Inputs!C7</x:f>
        <x:v>Sides</x:v>
      </x:c>
      <x:c r="D7" s="20" t="n">
        <x:f>ROUND(Inputs!D7*Inputs!E7,2)</x:f>
        <x:v>1791</x:v>
      </x:c>
      <x:c r="E7" s="20" t="n">
        <x:f>ROUND(Inputs!D7*Inputs!F7,2)</x:f>
        <x:v>497.5</x:v>
      </x:c>
      <x:c r="F7" s="10" t="n">
        <x:f>ROUND(D7*ROUND(Inputs!G7*10000,0)/100,0)/100</x:f>
        <x:v>26.87</x:v>
      </x:c>
      <x:c r="G7" s="10" t="n">
        <x:f>D7-E7</x:f>
        <x:v>1293.5</x:v>
      </x:c>
      <x:c r="H7" s="10" t="n">
        <x:f>G7-F7</x:f>
        <x:v>1266.63</x:v>
      </x:c>
      <x:c r="I7" s="17" t="n">
        <x:f>IF(D7=0,"n.a.",H7/D7)</x:f>
        <x:v>0.7072194304857622</x:v>
      </x:c>
      <x:c r="J7" s="19" t="n">
        <x:f>Inputs!D7</x:f>
        <x:v>199</x:v>
      </x:c>
      <x:c r="K7" s="2"/>
      <x:c r="L7" s="2"/>
      <x:c r="M7" s="2"/>
      <x:c r="N7" s="2"/>
      <x:c r="O7" s="2"/>
      <x:c r="P7" s="2"/>
    </x:row>
    <x:row r="8" ht="22" customHeight="1">
      <x:c r="A8" s="18" t="n">
        <x:f>Inputs!A8</x:f>
        <x:v>45658</x:v>
      </x:c>
      <x:c r="B8" s="19" t="str">
        <x:f>Inputs!B8</x:f>
        <x:v>Pickup</x:v>
      </x:c>
      <x:c r="C8" s="19" t="str">
        <x:f>Inputs!C8</x:f>
        <x:v>Drinks</x:v>
      </x:c>
      <x:c r="D8" s="20" t="n">
        <x:f>ROUND(Inputs!D8*Inputs!E8,2)</x:f>
        <x:v>1464</x:v>
      </x:c>
      <x:c r="E8" s="20" t="n">
        <x:f>ROUND(Inputs!D8*Inputs!F8,2)</x:f>
        <x:v>366</x:v>
      </x:c>
      <x:c r="F8" s="10" t="n">
        <x:f>ROUND(D8*ROUND(Inputs!G8*10000,0)/100,0)/100</x:f>
        <x:v>21.96</x:v>
      </x:c>
      <x:c r="G8" s="10" t="n">
        <x:f>D8-E8</x:f>
        <x:v>1098</x:v>
      </x:c>
      <x:c r="H8" s="10" t="n">
        <x:f>G8-F8</x:f>
        <x:v>1076.04</x:v>
      </x:c>
      <x:c r="I8" s="17" t="n">
        <x:f>IF(D8=0,"n.a.",H8/D8)</x:f>
        <x:v>0.735</x:v>
      </x:c>
      <x:c r="J8" s="19" t="n">
        <x:f>Inputs!D8</x:f>
        <x:v>244</x:v>
      </x:c>
      <x:c r="K8" s="2"/>
      <x:c r="L8" s="2"/>
      <x:c r="M8" s="2"/>
      <x:c r="N8" s="2"/>
      <x:c r="O8" s="2"/>
      <x:c r="P8" s="2"/>
    </x:row>
    <x:row r="9" ht="22" customHeight="1">
      <x:c r="A9" s="18" t="n">
        <x:f>Inputs!A9</x:f>
        <x:v>45658</x:v>
      </x:c>
      <x:c r="B9" s="19" t="str">
        <x:f>Inputs!B9</x:f>
        <x:v>Pickup</x:v>
      </x:c>
      <x:c r="C9" s="19" t="str">
        <x:f>Inputs!C9</x:f>
        <x:v>Desserts</x:v>
      </x:c>
      <x:c r="D9" s="20" t="n">
        <x:f>ROUND(Inputs!D9*Inputs!E9,2)</x:f>
        <x:v>1166</x:v>
      </x:c>
      <x:c r="E9" s="20" t="n">
        <x:f>ROUND(Inputs!D9*Inputs!F9,2)</x:f>
        <x:v>371</x:v>
      </x:c>
      <x:c r="F9" s="10" t="n">
        <x:f>ROUND(D9*ROUND(Inputs!G9*10000,0)/100,0)/100</x:f>
        <x:v>17.49</x:v>
      </x:c>
      <x:c r="G9" s="10" t="n">
        <x:f>D9-E9</x:f>
        <x:v>795</x:v>
      </x:c>
      <x:c r="H9" s="10" t="n">
        <x:f>G9-F9</x:f>
        <x:v>777.51</x:v>
      </x:c>
      <x:c r="I9" s="17" t="n">
        <x:f>IF(D9=0,"n.a.",H9/D9)</x:f>
        <x:v>0.6668181818181819</x:v>
      </x:c>
      <x:c r="J9" s="19" t="n">
        <x:f>Inputs!D9</x:f>
        <x:v>106</x:v>
      </x:c>
      <x:c r="K9" s="2"/>
      <x:c r="L9" s="2"/>
      <x:c r="M9" s="2"/>
      <x:c r="N9" s="2"/>
      <x:c r="O9" s="2"/>
      <x:c r="P9" s="2"/>
    </x:row>
    <x:row r="10" ht="22" customHeight="1">
      <x:c r="A10" s="18" t="n">
        <x:f>Inputs!A10</x:f>
        <x:v>45658</x:v>
      </x:c>
      <x:c r="B10" s="19" t="str">
        <x:f>Inputs!B10</x:f>
        <x:v>Delivery</x:v>
      </x:c>
      <x:c r="C10" s="19" t="str">
        <x:f>Inputs!C10</x:f>
        <x:v>Mains</x:v>
      </x:c>
      <x:c r="D10" s="20" t="n">
        <x:f>ROUND(Inputs!D10*Inputs!E10,2)</x:f>
        <x:v>9168</x:v>
      </x:c>
      <x:c r="E10" s="20" t="n">
        <x:f>ROUND(Inputs!D10*Inputs!F10,2)</x:f>
        <x:v>3056</x:v>
      </x:c>
      <x:c r="F10" s="10" t="n">
        <x:f>ROUND(D10*ROUND(Inputs!G10*10000,0)/100,0)/100</x:f>
        <x:v>2567.04</x:v>
      </x:c>
      <x:c r="G10" s="10" t="n">
        <x:f>D10-E10</x:f>
        <x:v>6112</x:v>
      </x:c>
      <x:c r="H10" s="10" t="n">
        <x:f>G10-F10</x:f>
        <x:v>3544.96</x:v>
      </x:c>
      <x:c r="I10" s="17" t="n">
        <x:f>IF(D10=0,"n.a.",H10/D10)</x:f>
        <x:v>0.38666666666666666</x:v>
      </x:c>
      <x:c r="J10" s="19" t="n">
        <x:f>Inputs!D10</x:f>
        <x:v>382</x:v>
      </x:c>
      <x:c r="K10" s="2"/>
      <x:c r="L10" s="2"/>
      <x:c r="M10" s="2"/>
      <x:c r="N10" s="2"/>
      <x:c r="O10" s="2"/>
      <x:c r="P10" s="2"/>
    </x:row>
    <x:row r="11" ht="22" customHeight="1">
      <x:c r="A11" s="18" t="n">
        <x:f>Inputs!A11</x:f>
        <x:v>45658</x:v>
      </x:c>
      <x:c r="B11" s="19" t="str">
        <x:f>Inputs!B11</x:f>
        <x:v>Delivery</x:v>
      </x:c>
      <x:c r="C11" s="19" t="str">
        <x:f>Inputs!C11</x:f>
        <x:v>Sides</x:v>
      </x:c>
      <x:c r="D11" s="20" t="n">
        <x:f>ROUND(Inputs!D11*Inputs!E11,2)</x:f>
        <x:v>2007</x:v>
      </x:c>
      <x:c r="E11" s="20" t="n">
        <x:f>ROUND(Inputs!D11*Inputs!F11,2)</x:f>
        <x:v>557.5</x:v>
      </x:c>
      <x:c r="F11" s="10" t="n">
        <x:f>ROUND(D11*ROUND(Inputs!G11*10000,0)/100,0)/100</x:f>
        <x:v>561.96</x:v>
      </x:c>
      <x:c r="G11" s="10" t="n">
        <x:f>D11-E11</x:f>
        <x:v>1449.5</x:v>
      </x:c>
      <x:c r="H11" s="10" t="n">
        <x:f>G11-F11</x:f>
        <x:v>887.54</x:v>
      </x:c>
      <x:c r="I11" s="17" t="n">
        <x:f>IF(D11=0,"n.a.",H11/D11)</x:f>
        <x:v>0.4422222222222222</x:v>
      </x:c>
      <x:c r="J11" s="19" t="n">
        <x:f>Inputs!D11</x:f>
        <x:v>223</x:v>
      </x:c>
      <x:c r="K11" s="2"/>
      <x:c r="L11" s="2"/>
      <x:c r="M11" s="2"/>
      <x:c r="N11" s="2"/>
      <x:c r="O11" s="2"/>
      <x:c r="P11" s="2"/>
    </x:row>
    <x:row r="12" ht="22" customHeight="1">
      <x:c r="A12" s="18" t="n">
        <x:f>Inputs!A12</x:f>
        <x:v>45658</x:v>
      </x:c>
      <x:c r="B12" s="19" t="str">
        <x:f>Inputs!B12</x:f>
        <x:v>Delivery</x:v>
      </x:c>
      <x:c r="C12" s="19" t="str">
        <x:f>Inputs!C12</x:f>
        <x:v>Drinks</x:v>
      </x:c>
      <x:c r="D12" s="20" t="n">
        <x:f>ROUND(Inputs!D12*Inputs!E12,2)</x:f>
        <x:v>1644</x:v>
      </x:c>
      <x:c r="E12" s="20" t="n">
        <x:f>ROUND(Inputs!D12*Inputs!F12,2)</x:f>
        <x:v>411</x:v>
      </x:c>
      <x:c r="F12" s="10" t="n">
        <x:f>ROUND(D12*ROUND(Inputs!G12*10000,0)/100,0)/100</x:f>
        <x:v>460.32</x:v>
      </x:c>
      <x:c r="G12" s="10" t="n">
        <x:f>D12-E12</x:f>
        <x:v>1233</x:v>
      </x:c>
      <x:c r="H12" s="10" t="n">
        <x:f>G12-F12</x:f>
        <x:v>772.6800000000001</x:v>
      </x:c>
      <x:c r="I12" s="17" t="n">
        <x:f>IF(D12=0,"n.a.",H12/D12)</x:f>
        <x:v>0.47000000000000003</x:v>
      </x:c>
      <x:c r="J12" s="19" t="n">
        <x:f>Inputs!D12</x:f>
        <x:v>274</x:v>
      </x:c>
      <x:c r="K12" s="2"/>
      <x:c r="L12" s="2"/>
      <x:c r="M12" s="2"/>
      <x:c r="N12" s="2"/>
      <x:c r="O12" s="2"/>
      <x:c r="P12" s="2"/>
    </x:row>
    <x:row r="13" ht="22" customHeight="1">
      <x:c r="A13" s="18" t="n">
        <x:f>Inputs!A13</x:f>
        <x:v>45658</x:v>
      </x:c>
      <x:c r="B13" s="19" t="str">
        <x:f>Inputs!B13</x:f>
        <x:v>Delivery</x:v>
      </x:c>
      <x:c r="C13" s="19" t="str">
        <x:f>Inputs!C13</x:f>
        <x:v>Desserts</x:v>
      </x:c>
      <x:c r="D13" s="20" t="n">
        <x:f>ROUND(Inputs!D13*Inputs!E13,2)</x:f>
        <x:v>1518</x:v>
      </x:c>
      <x:c r="E13" s="20" t="n">
        <x:f>ROUND(Inputs!D13*Inputs!F13,2)</x:f>
        <x:v>483</x:v>
      </x:c>
      <x:c r="F13" s="10" t="n">
        <x:f>ROUND(D13*ROUND(Inputs!G13*10000,0)/100,0)/100</x:f>
        <x:v>425.04</x:v>
      </x:c>
      <x:c r="G13" s="10" t="n">
        <x:f>D13-E13</x:f>
        <x:v>1035</x:v>
      </x:c>
      <x:c r="H13" s="10" t="n">
        <x:f>G13-F13</x:f>
        <x:v>609.96</x:v>
      </x:c>
      <x:c r="I13" s="17" t="n">
        <x:f>IF(D13=0,"n.a.",H13/D13)</x:f>
        <x:v>0.40181818181818185</x:v>
      </x:c>
      <x:c r="J13" s="19" t="n">
        <x:f>Inputs!D13</x:f>
        <x:v>138</x:v>
      </x:c>
      <x:c r="K13" s="2"/>
      <x:c r="L13" s="2"/>
      <x:c r="M13" s="2"/>
      <x:c r="N13" s="2"/>
      <x:c r="O13" s="2"/>
      <x:c r="P13" s="2"/>
    </x:row>
    <x:row r="14" ht="22" customHeight="1">
      <x:c r="A14" s="18" t="n">
        <x:f>Inputs!A14</x:f>
        <x:v>45689</x:v>
      </x:c>
      <x:c r="B14" s="19" t="str">
        <x:f>Inputs!B14</x:f>
        <x:v>Dine-in</x:v>
      </x:c>
      <x:c r="C14" s="19" t="str">
        <x:f>Inputs!C14</x:f>
        <x:v>Mains</x:v>
      </x:c>
      <x:c r="D14" s="20" t="n">
        <x:f>ROUND(Inputs!D14*Inputs!E14,2)</x:f>
        <x:v>10344</x:v>
      </x:c>
      <x:c r="E14" s="20" t="n">
        <x:f>ROUND(Inputs!D14*Inputs!F14,2)</x:f>
        <x:v>3448</x:v>
      </x:c>
      <x:c r="F14" s="10" t="n">
        <x:f>ROUND(D14*ROUND(Inputs!G14*10000,0)/100,0)/100</x:f>
        <x:v>155.16</x:v>
      </x:c>
      <x:c r="G14" s="10" t="n">
        <x:f>D14-E14</x:f>
        <x:v>6896</x:v>
      </x:c>
      <x:c r="H14" s="10" t="n">
        <x:f>G14-F14</x:f>
        <x:v>6740.84</x:v>
      </x:c>
      <x:c r="I14" s="17" t="n">
        <x:f>IF(D14=0,"n.a.",H14/D14)</x:f>
        <x:v>0.6516666666666667</x:v>
      </x:c>
      <x:c r="J14" s="19" t="n">
        <x:f>Inputs!D14</x:f>
        <x:v>431</x:v>
      </x:c>
      <x:c r="K14" s="2"/>
      <x:c r="L14" s="2"/>
      <x:c r="M14" s="2"/>
      <x:c r="N14" s="2"/>
      <x:c r="O14" s="2"/>
      <x:c r="P14" s="2"/>
    </x:row>
    <x:row r="15" ht="22" customHeight="1">
      <x:c r="A15" s="18" t="n">
        <x:f>Inputs!A15</x:f>
        <x:v>45689</x:v>
      </x:c>
      <x:c r="B15" s="19" t="str">
        <x:f>Inputs!B15</x:f>
        <x:v>Dine-in</x:v>
      </x:c>
      <x:c r="C15" s="19" t="str">
        <x:f>Inputs!C15</x:f>
        <x:v>Sides</x:v>
      </x:c>
      <x:c r="D15" s="20" t="n">
        <x:f>ROUND(Inputs!D15*Inputs!E15,2)</x:f>
        <x:v>2466</x:v>
      </x:c>
      <x:c r="E15" s="20" t="n">
        <x:f>ROUND(Inputs!D15*Inputs!F15,2)</x:f>
        <x:v>685</x:v>
      </x:c>
      <x:c r="F15" s="10" t="n">
        <x:f>ROUND(D15*ROUND(Inputs!G15*10000,0)/100,0)/100</x:f>
        <x:v>36.99</x:v>
      </x:c>
      <x:c r="G15" s="10" t="n">
        <x:f>D15-E15</x:f>
        <x:v>1781</x:v>
      </x:c>
      <x:c r="H15" s="10" t="n">
        <x:f>G15-F15</x:f>
        <x:v>1744.01</x:v>
      </x:c>
      <x:c r="I15" s="17" t="n">
        <x:f>IF(D15=0,"n.a.",H15/D15)</x:f>
        <x:v>0.7072222222222222</x:v>
      </x:c>
      <x:c r="J15" s="19" t="n">
        <x:f>Inputs!D15</x:f>
        <x:v>274</x:v>
      </x:c>
      <x:c r="K15" s="2"/>
      <x:c r="L15" s="2"/>
      <x:c r="M15" s="2"/>
      <x:c r="N15" s="2"/>
      <x:c r="O15" s="2"/>
      <x:c r="P15" s="2"/>
    </x:row>
    <x:row r="16" ht="22" customHeight="1">
      <x:c r="A16" s="18" t="n">
        <x:f>Inputs!A16</x:f>
        <x:v>45689</x:v>
      </x:c>
      <x:c r="B16" s="19" t="str">
        <x:f>Inputs!B16</x:f>
        <x:v>Dine-in</x:v>
      </x:c>
      <x:c r="C16" s="19" t="str">
        <x:f>Inputs!C16</x:f>
        <x:v>Drinks</x:v>
      </x:c>
      <x:c r="D16" s="20" t="n">
        <x:f>ROUND(Inputs!D16*Inputs!E16,2)</x:f>
        <x:v>2088</x:v>
      </x:c>
      <x:c r="E16" s="20" t="n">
        <x:f>ROUND(Inputs!D16*Inputs!F16,2)</x:f>
        <x:v>522</x:v>
      </x:c>
      <x:c r="F16" s="10" t="n">
        <x:f>ROUND(D16*ROUND(Inputs!G16*10000,0)/100,0)/100</x:f>
        <x:v>31.32</x:v>
      </x:c>
      <x:c r="G16" s="10" t="n">
        <x:f>D16-E16</x:f>
        <x:v>1566</x:v>
      </x:c>
      <x:c r="H16" s="10" t="n">
        <x:f>G16-F16</x:f>
        <x:v>1534.68</x:v>
      </x:c>
      <x:c r="I16" s="17" t="n">
        <x:f>IF(D16=0,"n.a.",H16/D16)</x:f>
        <x:v>0.735</x:v>
      </x:c>
      <x:c r="J16" s="19" t="n">
        <x:f>Inputs!D16</x:f>
        <x:v>348</x:v>
      </x:c>
      <x:c r="K16" s="2"/>
      <x:c r="L16" s="2"/>
      <x:c r="M16" s="2"/>
      <x:c r="N16" s="2"/>
      <x:c r="O16" s="2"/>
      <x:c r="P16" s="2"/>
    </x:row>
    <x:row r="17" ht="22" customHeight="1">
      <x:c r="A17" s="18" t="n">
        <x:f>Inputs!A17</x:f>
        <x:v>45689</x:v>
      </x:c>
      <x:c r="B17" s="19" t="str">
        <x:f>Inputs!B17</x:f>
        <x:v>Dine-in</x:v>
      </x:c>
      <x:c r="C17" s="19" t="str">
        <x:f>Inputs!C17</x:f>
        <x:v>Desserts</x:v>
      </x:c>
      <x:c r="D17" s="20" t="n">
        <x:f>ROUND(Inputs!D17*Inputs!E17,2)</x:f>
        <x:v>1826</x:v>
      </x:c>
      <x:c r="E17" s="20" t="n">
        <x:f>ROUND(Inputs!D17*Inputs!F17,2)</x:f>
        <x:v>581</x:v>
      </x:c>
      <x:c r="F17" s="10" t="n">
        <x:f>ROUND(D17*ROUND(Inputs!G17*10000,0)/100,0)/100</x:f>
        <x:v>27.39</x:v>
      </x:c>
      <x:c r="G17" s="10" t="n">
        <x:f>D17-E17</x:f>
        <x:v>1245</x:v>
      </x:c>
      <x:c r="H17" s="10" t="n">
        <x:f>G17-F17</x:f>
        <x:v>1217.61</x:v>
      </x:c>
      <x:c r="I17" s="17" t="n">
        <x:f>IF(D17=0,"n.a.",H17/D17)</x:f>
        <x:v>0.6668181818181818</x:v>
      </x:c>
      <x:c r="J17" s="19" t="n">
        <x:f>Inputs!D17</x:f>
        <x:v>166</x:v>
      </x:c>
      <x:c r="K17" s="2"/>
      <x:c r="L17" s="2"/>
      <x:c r="M17" s="2"/>
      <x:c r="N17" s="2"/>
      <x:c r="O17" s="2"/>
      <x:c r="P17" s="2"/>
    </x:row>
    <x:row r="18" ht="22" customHeight="1">
      <x:c r="A18" s="18" t="n">
        <x:f>Inputs!A18</x:f>
        <x:v>45689</x:v>
      </x:c>
      <x:c r="B18" s="19" t="str">
        <x:f>Inputs!B18</x:f>
        <x:v>Pickup</x:v>
      </x:c>
      <x:c r="C18" s="19" t="str">
        <x:f>Inputs!C18</x:f>
        <x:v>Mains</x:v>
      </x:c>
      <x:c r="D18" s="20" t="n">
        <x:f>ROUND(Inputs!D18*Inputs!E18,2)</x:f>
        <x:v>6936</x:v>
      </x:c>
      <x:c r="E18" s="20" t="n">
        <x:f>ROUND(Inputs!D18*Inputs!F18,2)</x:f>
        <x:v>2312</x:v>
      </x:c>
      <x:c r="F18" s="10" t="n">
        <x:f>ROUND(D18*ROUND(Inputs!G18*10000,0)/100,0)/100</x:f>
        <x:v>104.04</x:v>
      </x:c>
      <x:c r="G18" s="10" t="n">
        <x:f>D18-E18</x:f>
        <x:v>4624</x:v>
      </x:c>
      <x:c r="H18" s="10" t="n">
        <x:f>G18-F18</x:f>
        <x:v>4519.96</x:v>
      </x:c>
      <x:c r="I18" s="17" t="n">
        <x:f>IF(D18=0,"n.a.",H18/D18)</x:f>
        <x:v>0.6516666666666667</x:v>
      </x:c>
      <x:c r="J18" s="19" t="n">
        <x:f>Inputs!D18</x:f>
        <x:v>289</x:v>
      </x:c>
      <x:c r="K18" s="2"/>
      <x:c r="L18" s="2"/>
      <x:c r="M18" s="2"/>
      <x:c r="N18" s="2"/>
      <x:c r="O18" s="2"/>
      <x:c r="P18" s="2"/>
    </x:row>
    <x:row r="19" ht="22" customHeight="1">
      <x:c r="A19" s="18" t="n">
        <x:f>Inputs!A19</x:f>
        <x:v>45689</x:v>
      </x:c>
      <x:c r="B19" s="19" t="str">
        <x:f>Inputs!B19</x:f>
        <x:v>Pickup</x:v>
      </x:c>
      <x:c r="C19" s="19" t="str">
        <x:f>Inputs!C19</x:f>
        <x:v>Sides</x:v>
      </x:c>
      <x:c r="D19" s="20" t="n">
        <x:f>ROUND(Inputs!D19*Inputs!E19,2)</x:f>
        <x:v>1692</x:v>
      </x:c>
      <x:c r="E19" s="20" t="n">
        <x:f>ROUND(Inputs!D19*Inputs!F19,2)</x:f>
        <x:v>470</x:v>
      </x:c>
      <x:c r="F19" s="10" t="n">
        <x:f>ROUND(D19*ROUND(Inputs!G19*10000,0)/100,0)/100</x:f>
        <x:v>25.38</x:v>
      </x:c>
      <x:c r="G19" s="10" t="n">
        <x:f>D19-E19</x:f>
        <x:v>1222</x:v>
      </x:c>
      <x:c r="H19" s="10" t="n">
        <x:f>G19-F19</x:f>
        <x:v>1196.62</x:v>
      </x:c>
      <x:c r="I19" s="17" t="n">
        <x:f>IF(D19=0,"n.a.",H19/D19)</x:f>
        <x:v>0.7072222222222222</x:v>
      </x:c>
      <x:c r="J19" s="19" t="n">
        <x:f>Inputs!D19</x:f>
        <x:v>188</x:v>
      </x:c>
      <x:c r="K19" s="2"/>
      <x:c r="L19" s="2"/>
      <x:c r="M19" s="2"/>
      <x:c r="N19" s="2"/>
      <x:c r="O19" s="2"/>
      <x:c r="P19" s="2"/>
    </x:row>
    <x:row r="20" ht="22" customHeight="1">
      <x:c r="A20" s="18" t="n">
        <x:f>Inputs!A20</x:f>
        <x:v>45689</x:v>
      </x:c>
      <x:c r="B20" s="19" t="str">
        <x:f>Inputs!B20</x:f>
        <x:v>Pickup</x:v>
      </x:c>
      <x:c r="C20" s="19" t="str">
        <x:f>Inputs!C20</x:f>
        <x:v>Drinks</x:v>
      </x:c>
      <x:c r="D20" s="20" t="n">
        <x:f>ROUND(Inputs!D20*Inputs!E20,2)</x:f>
        <x:v>1386</x:v>
      </x:c>
      <x:c r="E20" s="20" t="n">
        <x:f>ROUND(Inputs!D20*Inputs!F20,2)</x:f>
        <x:v>346.5</x:v>
      </x:c>
      <x:c r="F20" s="10" t="n">
        <x:f>ROUND(D20*ROUND(Inputs!G20*10000,0)/100,0)/100</x:f>
        <x:v>20.79</x:v>
      </x:c>
      <x:c r="G20" s="10" t="n">
        <x:f>D20-E20</x:f>
        <x:v>1039.5</x:v>
      </x:c>
      <x:c r="H20" s="10" t="n">
        <x:f>G20-F20</x:f>
        <x:v>1018.71</x:v>
      </x:c>
      <x:c r="I20" s="17" t="n">
        <x:f>IF(D20=0,"n.a.",H20/D20)</x:f>
        <x:v>0.735</x:v>
      </x:c>
      <x:c r="J20" s="19" t="n">
        <x:f>Inputs!D20</x:f>
        <x:v>231</x:v>
      </x:c>
      <x:c r="K20" s="2"/>
      <x:c r="L20" s="2"/>
      <x:c r="M20" s="2"/>
      <x:c r="N20" s="2"/>
      <x:c r="O20" s="2"/>
      <x:c r="P20" s="2"/>
    </x:row>
    <x:row r="21" ht="22" customHeight="1">
      <x:c r="A21" s="18" t="n">
        <x:f>Inputs!A21</x:f>
        <x:v>45689</x:v>
      </x:c>
      <x:c r="B21" s="19" t="str">
        <x:f>Inputs!B21</x:f>
        <x:v>Pickup</x:v>
      </x:c>
      <x:c r="C21" s="19" t="str">
        <x:f>Inputs!C21</x:f>
        <x:v>Desserts</x:v>
      </x:c>
      <x:c r="D21" s="20" t="n">
        <x:f>ROUND(Inputs!D21*Inputs!E21,2)</x:f>
        <x:v>1100</x:v>
      </x:c>
      <x:c r="E21" s="20" t="n">
        <x:f>ROUND(Inputs!D21*Inputs!F21,2)</x:f>
        <x:v>350</x:v>
      </x:c>
      <x:c r="F21" s="10" t="n">
        <x:f>ROUND(D21*ROUND(Inputs!G21*10000,0)/100,0)/100</x:f>
        <x:v>16.5</x:v>
      </x:c>
      <x:c r="G21" s="10" t="n">
        <x:f>D21-E21</x:f>
        <x:v>750</x:v>
      </x:c>
      <x:c r="H21" s="10" t="n">
        <x:f>G21-F21</x:f>
        <x:v>733.5</x:v>
      </x:c>
      <x:c r="I21" s="17" t="n">
        <x:f>IF(D21=0,"n.a.",H21/D21)</x:f>
        <x:v>0.6668181818181819</x:v>
      </x:c>
      <x:c r="J21" s="19" t="n">
        <x:f>Inputs!D21</x:f>
        <x:v>100</x:v>
      </x:c>
      <x:c r="K21" s="2"/>
      <x:c r="L21" s="2"/>
      <x:c r="M21" s="2"/>
      <x:c r="N21" s="2"/>
      <x:c r="O21" s="2"/>
      <x:c r="P21" s="2"/>
    </x:row>
    <x:row r="22" ht="22" customHeight="1">
      <x:c r="A22" s="18" t="n">
        <x:f>Inputs!A22</x:f>
        <x:v>45689</x:v>
      </x:c>
      <x:c r="B22" s="19" t="str">
        <x:f>Inputs!B22</x:f>
        <x:v>Delivery</x:v>
      </x:c>
      <x:c r="C22" s="19" t="str">
        <x:f>Inputs!C22</x:f>
        <x:v>Mains</x:v>
      </x:c>
      <x:c r="D22" s="20" t="n">
        <x:f>ROUND(Inputs!D22*Inputs!E22,2)</x:f>
        <x:v>9240</x:v>
      </x:c>
      <x:c r="E22" s="20" t="n">
        <x:f>ROUND(Inputs!D22*Inputs!F22,2)</x:f>
        <x:v>3080</x:v>
      </x:c>
      <x:c r="F22" s="10" t="n">
        <x:f>ROUND(D22*ROUND(Inputs!G22*10000,0)/100,0)/100</x:f>
        <x:v>2587.2</x:v>
      </x:c>
      <x:c r="G22" s="10" t="n">
        <x:f>D22-E22</x:f>
        <x:v>6160</x:v>
      </x:c>
      <x:c r="H22" s="10" t="n">
        <x:f>G22-F22</x:f>
        <x:v>3572.8</x:v>
      </x:c>
      <x:c r="I22" s="17" t="n">
        <x:f>IF(D22=0,"n.a.",H22/D22)</x:f>
        <x:v>0.3866666666666667</x:v>
      </x:c>
      <x:c r="J22" s="19" t="n">
        <x:f>Inputs!D22</x:f>
        <x:v>385</x:v>
      </x:c>
      <x:c r="K22" s="2"/>
      <x:c r="L22" s="2"/>
      <x:c r="M22" s="2"/>
      <x:c r="N22" s="2"/>
      <x:c r="O22" s="2"/>
      <x:c r="P22" s="2"/>
    </x:row>
    <x:row r="23" ht="22" customHeight="1">
      <x:c r="A23" s="18" t="n">
        <x:f>Inputs!A23</x:f>
        <x:v>45689</x:v>
      </x:c>
      <x:c r="B23" s="19" t="str">
        <x:f>Inputs!B23</x:f>
        <x:v>Delivery</x:v>
      </x:c>
      <x:c r="C23" s="19" t="str">
        <x:f>Inputs!C23</x:f>
        <x:v>Sides</x:v>
      </x:c>
      <x:c r="D23" s="20" t="n">
        <x:f>ROUND(Inputs!D23*Inputs!E23,2)</x:f>
        <x:v>2115</x:v>
      </x:c>
      <x:c r="E23" s="20" t="n">
        <x:f>ROUND(Inputs!D23*Inputs!F23,2)</x:f>
        <x:v>587.5</x:v>
      </x:c>
      <x:c r="F23" s="10" t="n">
        <x:f>ROUND(D23*ROUND(Inputs!G23*10000,0)/100,0)/100</x:f>
        <x:v>592.2</x:v>
      </x:c>
      <x:c r="G23" s="10" t="n">
        <x:f>D23-E23</x:f>
        <x:v>1527.5</x:v>
      </x:c>
      <x:c r="H23" s="10" t="n">
        <x:f>G23-F23</x:f>
        <x:v>935.3</x:v>
      </x:c>
      <x:c r="I23" s="17" t="n">
        <x:f>IF(D23=0,"n.a.",H23/D23)</x:f>
        <x:v>0.4422222222222222</x:v>
      </x:c>
      <x:c r="J23" s="19" t="n">
        <x:f>Inputs!D23</x:f>
        <x:v>235</x:v>
      </x:c>
      <x:c r="K23" s="2"/>
      <x:c r="L23" s="2"/>
      <x:c r="M23" s="2"/>
      <x:c r="N23" s="2"/>
      <x:c r="O23" s="2"/>
      <x:c r="P23" s="2"/>
    </x:row>
    <x:row r="24" ht="22" customHeight="1">
      <x:c r="A24" s="18" t="n">
        <x:f>Inputs!A24</x:f>
        <x:v>45689</x:v>
      </x:c>
      <x:c r="B24" s="19" t="str">
        <x:f>Inputs!B24</x:f>
        <x:v>Delivery</x:v>
      </x:c>
      <x:c r="C24" s="19" t="str">
        <x:f>Inputs!C24</x:f>
        <x:v>Drinks</x:v>
      </x:c>
      <x:c r="D24" s="20" t="n">
        <x:f>ROUND(Inputs!D24*Inputs!E24,2)</x:f>
        <x:v>1602</x:v>
      </x:c>
      <x:c r="E24" s="20" t="n">
        <x:f>ROUND(Inputs!D24*Inputs!F24,2)</x:f>
        <x:v>400.5</x:v>
      </x:c>
      <x:c r="F24" s="10" t="n">
        <x:f>ROUND(D24*ROUND(Inputs!G24*10000,0)/100,0)/100</x:f>
        <x:v>448.56</x:v>
      </x:c>
      <x:c r="G24" s="10" t="n">
        <x:f>D24-E24</x:f>
        <x:v>1201.5</x:v>
      </x:c>
      <x:c r="H24" s="10" t="n">
        <x:f>G24-F24</x:f>
        <x:v>752.94</x:v>
      </x:c>
      <x:c r="I24" s="17" t="n">
        <x:f>IF(D24=0,"n.a.",H24/D24)</x:f>
        <x:v>0.47000000000000003</x:v>
      </x:c>
      <x:c r="J24" s="19" t="n">
        <x:f>Inputs!D24</x:f>
        <x:v>267</x:v>
      </x:c>
      <x:c r="K24" s="2"/>
      <x:c r="L24" s="2"/>
      <x:c r="M24" s="2"/>
      <x:c r="N24" s="2"/>
      <x:c r="O24" s="2"/>
      <x:c r="P24" s="2"/>
    </x:row>
    <x:row r="25" ht="22" customHeight="1">
      <x:c r="A25" s="18" t="n">
        <x:f>Inputs!A25</x:f>
        <x:v>45689</x:v>
      </x:c>
      <x:c r="B25" s="19" t="str">
        <x:f>Inputs!B25</x:f>
        <x:v>Delivery</x:v>
      </x:c>
      <x:c r="C25" s="19" t="str">
        <x:f>Inputs!C25</x:f>
        <x:v>Desserts</x:v>
      </x:c>
      <x:c r="D25" s="20" t="n">
        <x:f>ROUND(Inputs!D25*Inputs!E25,2)</x:f>
        <x:v>1386</x:v>
      </x:c>
      <x:c r="E25" s="20" t="n">
        <x:f>ROUND(Inputs!D25*Inputs!F25,2)</x:f>
        <x:v>441</x:v>
      </x:c>
      <x:c r="F25" s="10" t="n">
        <x:f>ROUND(D25*ROUND(Inputs!G25*10000,0)/100,0)/100</x:f>
        <x:v>388.08</x:v>
      </x:c>
      <x:c r="G25" s="10" t="n">
        <x:f>D25-E25</x:f>
        <x:v>945</x:v>
      </x:c>
      <x:c r="H25" s="10" t="n">
        <x:f>G25-F25</x:f>
        <x:v>556.9200000000001</x:v>
      </x:c>
      <x:c r="I25" s="17" t="n">
        <x:f>IF(D25=0,"n.a.",H25/D25)</x:f>
        <x:v>0.40181818181818185</x:v>
      </x:c>
      <x:c r="J25" s="19" t="n">
        <x:f>Inputs!D25</x:f>
        <x:v>126</x:v>
      </x:c>
      <x:c r="K25" s="2"/>
      <x:c r="L25" s="2"/>
      <x:c r="M25" s="2"/>
      <x:c r="N25" s="2"/>
      <x:c r="O25" s="2"/>
      <x:c r="P25" s="2"/>
    </x:row>
    <x:row r="26" ht="22" customHeight="1">
      <x:c r="A26" s="18" t="n">
        <x:f>Inputs!A26</x:f>
        <x:v>45717</x:v>
      </x:c>
      <x:c r="B26" s="19" t="str">
        <x:f>Inputs!B26</x:f>
        <x:v>Dine-in</x:v>
      </x:c>
      <x:c r="C26" s="19" t="str">
        <x:f>Inputs!C26</x:f>
        <x:v>Mains</x:v>
      </x:c>
      <x:c r="D26" s="20" t="n">
        <x:f>ROUND(Inputs!D26*Inputs!E26,2)</x:f>
        <x:v>10944</x:v>
      </x:c>
      <x:c r="E26" s="20" t="n">
        <x:f>ROUND(Inputs!D26*Inputs!F26,2)</x:f>
        <x:v>3648</x:v>
      </x:c>
      <x:c r="F26" s="10" t="n">
        <x:f>ROUND(D26*ROUND(Inputs!G26*10000,0)/100,0)/100</x:f>
        <x:v>164.16</x:v>
      </x:c>
      <x:c r="G26" s="10" t="n">
        <x:f>D26-E26</x:f>
        <x:v>7296</x:v>
      </x:c>
      <x:c r="H26" s="10" t="n">
        <x:f>G26-F26</x:f>
        <x:v>7131.84</x:v>
      </x:c>
      <x:c r="I26" s="17" t="n">
        <x:f>IF(D26=0,"n.a.",H26/D26)</x:f>
        <x:v>0.6516666666666667</x:v>
      </x:c>
      <x:c r="J26" s="19" t="n">
        <x:f>Inputs!D26</x:f>
        <x:v>456</x:v>
      </x:c>
      <x:c r="K26" s="2"/>
      <x:c r="L26" s="2"/>
      <x:c r="M26" s="2"/>
      <x:c r="N26" s="2"/>
      <x:c r="O26" s="2"/>
      <x:c r="P26" s="2"/>
    </x:row>
    <x:row r="27" ht="22" customHeight="1">
      <x:c r="A27" s="18" t="n">
        <x:f>Inputs!A27</x:f>
        <x:v>45717</x:v>
      </x:c>
      <x:c r="B27" s="19" t="str">
        <x:f>Inputs!B27</x:f>
        <x:v>Dine-in</x:v>
      </x:c>
      <x:c r="C27" s="19" t="str">
        <x:f>Inputs!C27</x:f>
        <x:v>Sides</x:v>
      </x:c>
      <x:c r="D27" s="20" t="n">
        <x:f>ROUND(Inputs!D27*Inputs!E27,2)</x:f>
        <x:v>2331</x:v>
      </x:c>
      <x:c r="E27" s="20" t="n">
        <x:f>ROUND(Inputs!D27*Inputs!F27,2)</x:f>
        <x:v>647.5</x:v>
      </x:c>
      <x:c r="F27" s="10" t="n">
        <x:f>ROUND(D27*ROUND(Inputs!G27*10000,0)/100,0)/100</x:f>
        <x:v>34.97</x:v>
      </x:c>
      <x:c r="G27" s="10" t="n">
        <x:f>D27-E27</x:f>
        <x:v>1683.5</x:v>
      </x:c>
      <x:c r="H27" s="10" t="n">
        <x:f>G27-F27</x:f>
        <x:v>1648.53</x:v>
      </x:c>
      <x:c r="I27" s="17" t="n">
        <x:f>IF(D27=0,"n.a.",H27/D27)</x:f>
        <x:v>0.7072200772200772</x:v>
      </x:c>
      <x:c r="J27" s="19" t="n">
        <x:f>Inputs!D27</x:f>
        <x:v>259</x:v>
      </x:c>
      <x:c r="K27" s="2"/>
      <x:c r="L27" s="2"/>
      <x:c r="M27" s="2"/>
      <x:c r="N27" s="2"/>
      <x:c r="O27" s="2"/>
      <x:c r="P27" s="2"/>
    </x:row>
    <x:row r="28" ht="22" customHeight="1">
      <x:c r="A28" s="18" t="n">
        <x:f>Inputs!A28</x:f>
        <x:v>45717</x:v>
      </x:c>
      <x:c r="B28" s="19" t="str">
        <x:f>Inputs!B28</x:f>
        <x:v>Dine-in</x:v>
      </x:c>
      <x:c r="C28" s="19" t="str">
        <x:f>Inputs!C28</x:f>
        <x:v>Drinks</x:v>
      </x:c>
      <x:c r="D28" s="20" t="n">
        <x:f>ROUND(Inputs!D28*Inputs!E28,2)</x:f>
        <x:v>1788</x:v>
      </x:c>
      <x:c r="E28" s="20" t="n">
        <x:f>ROUND(Inputs!D28*Inputs!F28,2)</x:f>
        <x:v>447</x:v>
      </x:c>
      <x:c r="F28" s="10" t="n">
        <x:f>ROUND(D28*ROUND(Inputs!G28*10000,0)/100,0)/100</x:f>
        <x:v>26.82</x:v>
      </x:c>
      <x:c r="G28" s="10" t="n">
        <x:f>D28-E28</x:f>
        <x:v>1341</x:v>
      </x:c>
      <x:c r="H28" s="10" t="n">
        <x:f>G28-F28</x:f>
        <x:v>1314.18</x:v>
      </x:c>
      <x:c r="I28" s="17" t="n">
        <x:f>IF(D28=0,"n.a.",H28/D28)</x:f>
        <x:v>0.735</x:v>
      </x:c>
      <x:c r="J28" s="19" t="n">
        <x:f>Inputs!D28</x:f>
        <x:v>298</x:v>
      </x:c>
      <x:c r="K28" s="2"/>
      <x:c r="L28" s="2"/>
      <x:c r="M28" s="2"/>
      <x:c r="N28" s="2"/>
      <x:c r="O28" s="2"/>
      <x:c r="P28" s="2"/>
    </x:row>
    <x:row r="29" ht="22" customHeight="1">
      <x:c r="A29" s="18" t="n">
        <x:f>Inputs!A29</x:f>
        <x:v>45717</x:v>
      </x:c>
      <x:c r="B29" s="19" t="str">
        <x:f>Inputs!B29</x:f>
        <x:v>Dine-in</x:v>
      </x:c>
      <x:c r="C29" s="19" t="str">
        <x:f>Inputs!C29</x:f>
        <x:v>Desserts</x:v>
      </x:c>
      <x:c r="D29" s="20" t="n">
        <x:f>ROUND(Inputs!D29*Inputs!E29,2)</x:f>
        <x:v>1584</x:v>
      </x:c>
      <x:c r="E29" s="20" t="n">
        <x:f>ROUND(Inputs!D29*Inputs!F29,2)</x:f>
        <x:v>504</x:v>
      </x:c>
      <x:c r="F29" s="10" t="n">
        <x:f>ROUND(D29*ROUND(Inputs!G29*10000,0)/100,0)/100</x:f>
        <x:v>23.76</x:v>
      </x:c>
      <x:c r="G29" s="10" t="n">
        <x:f>D29-E29</x:f>
        <x:v>1080</x:v>
      </x:c>
      <x:c r="H29" s="10" t="n">
        <x:f>G29-F29</x:f>
        <x:v>1056.24</x:v>
      </x:c>
      <x:c r="I29" s="17" t="n">
        <x:f>IF(D29=0,"n.a.",H29/D29)</x:f>
        <x:v>0.6668181818181819</x:v>
      </x:c>
      <x:c r="J29" s="19" t="n">
        <x:f>Inputs!D29</x:f>
        <x:v>144</x:v>
      </x:c>
      <x:c r="K29" s="2"/>
      <x:c r="L29" s="2"/>
      <x:c r="M29" s="2"/>
      <x:c r="N29" s="2"/>
      <x:c r="O29" s="2"/>
      <x:c r="P29" s="2"/>
    </x:row>
    <x:row r="30" ht="22" customHeight="1">
      <x:c r="A30" s="18" t="n">
        <x:f>Inputs!A30</x:f>
        <x:v>45717</x:v>
      </x:c>
      <x:c r="B30" s="19" t="str">
        <x:f>Inputs!B30</x:f>
        <x:v>Pickup</x:v>
      </x:c>
      <x:c r="C30" s="19" t="str">
        <x:f>Inputs!C30</x:f>
        <x:v>Mains</x:v>
      </x:c>
      <x:c r="D30" s="20" t="n">
        <x:f>ROUND(Inputs!D30*Inputs!E30,2)</x:f>
        <x:v>7008</x:v>
      </x:c>
      <x:c r="E30" s="20" t="n">
        <x:f>ROUND(Inputs!D30*Inputs!F30,2)</x:f>
        <x:v>2336</x:v>
      </x:c>
      <x:c r="F30" s="10" t="n">
        <x:f>ROUND(D30*ROUND(Inputs!G30*10000,0)/100,0)/100</x:f>
        <x:v>105.12</x:v>
      </x:c>
      <x:c r="G30" s="10" t="n">
        <x:f>D30-E30</x:f>
        <x:v>4672</x:v>
      </x:c>
      <x:c r="H30" s="10" t="n">
        <x:f>G30-F30</x:f>
        <x:v>4566.88</x:v>
      </x:c>
      <x:c r="I30" s="17" t="n">
        <x:f>IF(D30=0,"n.a.",H30/D30)</x:f>
        <x:v>0.6516666666666667</x:v>
      </x:c>
      <x:c r="J30" s="19" t="n">
        <x:f>Inputs!D30</x:f>
        <x:v>292</x:v>
      </x:c>
      <x:c r="K30" s="2"/>
      <x:c r="L30" s="2"/>
      <x:c r="M30" s="2"/>
      <x:c r="N30" s="2"/>
      <x:c r="O30" s="2"/>
      <x:c r="P30" s="2"/>
    </x:row>
    <x:row r="31" ht="22" customHeight="1">
      <x:c r="A31" s="18" t="n">
        <x:f>Inputs!A31</x:f>
        <x:v>45717</x:v>
      </x:c>
      <x:c r="B31" s="19" t="str">
        <x:f>Inputs!B31</x:f>
        <x:v>Pickup</x:v>
      </x:c>
      <x:c r="C31" s="19" t="str">
        <x:f>Inputs!C31</x:f>
        <x:v>Sides</x:v>
      </x:c>
      <x:c r="D31" s="20" t="n">
        <x:f>ROUND(Inputs!D31*Inputs!E31,2)</x:f>
        <x:v>1575</x:v>
      </x:c>
      <x:c r="E31" s="20" t="n">
        <x:f>ROUND(Inputs!D31*Inputs!F31,2)</x:f>
        <x:v>437.5</x:v>
      </x:c>
      <x:c r="F31" s="10" t="n">
        <x:f>ROUND(D31*ROUND(Inputs!G31*10000,0)/100,0)/100</x:f>
        <x:v>23.63</x:v>
      </x:c>
      <x:c r="G31" s="10" t="n">
        <x:f>D31-E31</x:f>
        <x:v>1137.5</x:v>
      </x:c>
      <x:c r="H31" s="10" t="n">
        <x:f>G31-F31</x:f>
        <x:v>1113.87</x:v>
      </x:c>
      <x:c r="I31" s="17" t="n">
        <x:f>IF(D31=0,"n.a.",H31/D31)</x:f>
        <x:v>0.7072190476190475</x:v>
      </x:c>
      <x:c r="J31" s="19" t="n">
        <x:f>Inputs!D31</x:f>
        <x:v>175</x:v>
      </x:c>
      <x:c r="K31" s="2"/>
      <x:c r="L31" s="2"/>
      <x:c r="M31" s="2"/>
      <x:c r="N31" s="2"/>
      <x:c r="O31" s="2"/>
      <x:c r="P31" s="2"/>
    </x:row>
    <x:row r="32" ht="22" customHeight="1">
      <x:c r="A32" s="18" t="n">
        <x:f>Inputs!A32</x:f>
        <x:v>45717</x:v>
      </x:c>
      <x:c r="B32" s="19" t="str">
        <x:f>Inputs!B32</x:f>
        <x:v>Pickup</x:v>
      </x:c>
      <x:c r="C32" s="19" t="str">
        <x:f>Inputs!C32</x:f>
        <x:v>Drinks</x:v>
      </x:c>
      <x:c r="D32" s="20" t="n">
        <x:f>ROUND(Inputs!D32*Inputs!E32,2)</x:f>
        <x:v>1284</x:v>
      </x:c>
      <x:c r="E32" s="20" t="n">
        <x:f>ROUND(Inputs!D32*Inputs!F32,2)</x:f>
        <x:v>321</x:v>
      </x:c>
      <x:c r="F32" s="10" t="n">
        <x:f>ROUND(D32*ROUND(Inputs!G32*10000,0)/100,0)/100</x:f>
        <x:v>19.26</x:v>
      </x:c>
      <x:c r="G32" s="10" t="n">
        <x:f>D32-E32</x:f>
        <x:v>963</x:v>
      </x:c>
      <x:c r="H32" s="10" t="n">
        <x:f>G32-F32</x:f>
        <x:v>943.74</x:v>
      </x:c>
      <x:c r="I32" s="17" t="n">
        <x:f>IF(D32=0,"n.a.",H32/D32)</x:f>
        <x:v>0.735</x:v>
      </x:c>
      <x:c r="J32" s="19" t="n">
        <x:f>Inputs!D32</x:f>
        <x:v>214</x:v>
      </x:c>
      <x:c r="K32" s="2"/>
      <x:c r="L32" s="2"/>
      <x:c r="M32" s="2"/>
      <x:c r="N32" s="2"/>
      <x:c r="O32" s="2"/>
      <x:c r="P32" s="2"/>
    </x:row>
    <x:row r="33" ht="22" customHeight="1">
      <x:c r="A33" s="18" t="n">
        <x:f>Inputs!A33</x:f>
        <x:v>45717</x:v>
      </x:c>
      <x:c r="B33" s="19" t="str">
        <x:f>Inputs!B33</x:f>
        <x:v>Pickup</x:v>
      </x:c>
      <x:c r="C33" s="19" t="str">
        <x:f>Inputs!C33</x:f>
        <x:v>Desserts</x:v>
      </x:c>
      <x:c r="D33" s="20" t="n">
        <x:f>ROUND(Inputs!D33*Inputs!E33,2)</x:f>
        <x:v>1133</x:v>
      </x:c>
      <x:c r="E33" s="20" t="n">
        <x:f>ROUND(Inputs!D33*Inputs!F33,2)</x:f>
        <x:v>360.5</x:v>
      </x:c>
      <x:c r="F33" s="10" t="n">
        <x:f>ROUND(D33*ROUND(Inputs!G33*10000,0)/100,0)/100</x:f>
        <x:v>17</x:v>
      </x:c>
      <x:c r="G33" s="10" t="n">
        <x:f>D33-E33</x:f>
        <x:v>772.5</x:v>
      </x:c>
      <x:c r="H33" s="10" t="n">
        <x:f>G33-F33</x:f>
        <x:v>755.5</x:v>
      </x:c>
      <x:c r="I33" s="17" t="n">
        <x:f>IF(D33=0,"n.a.",H33/D33)</x:f>
        <x:v>0.6668137687555163</x:v>
      </x:c>
      <x:c r="J33" s="19" t="n">
        <x:f>Inputs!D33</x:f>
        <x:v>103</x:v>
      </x:c>
      <x:c r="K33" s="2"/>
      <x:c r="L33" s="2"/>
      <x:c r="M33" s="2"/>
      <x:c r="N33" s="2"/>
      <x:c r="O33" s="2"/>
      <x:c r="P33" s="2"/>
    </x:row>
    <x:row r="34" ht="22" customHeight="1">
      <x:c r="A34" s="18" t="n">
        <x:f>Inputs!A34</x:f>
        <x:v>45717</x:v>
      </x:c>
      <x:c r="B34" s="19" t="str">
        <x:f>Inputs!B34</x:f>
        <x:v>Delivery</x:v>
      </x:c>
      <x:c r="C34" s="19" t="str">
        <x:f>Inputs!C34</x:f>
        <x:v>Mains</x:v>
      </x:c>
      <x:c r="D34" s="20" t="n">
        <x:f>ROUND(Inputs!D34*Inputs!E34,2)</x:f>
        <x:v>8256</x:v>
      </x:c>
      <x:c r="E34" s="20" t="n">
        <x:f>ROUND(Inputs!D34*Inputs!F34,2)</x:f>
        <x:v>2752</x:v>
      </x:c>
      <x:c r="F34" s="10" t="n">
        <x:f>ROUND(D34*ROUND(Inputs!G34*10000,0)/100,0)/100</x:f>
        <x:v>2311.68</x:v>
      </x:c>
      <x:c r="G34" s="10" t="n">
        <x:f>D34-E34</x:f>
        <x:v>5504</x:v>
      </x:c>
      <x:c r="H34" s="10" t="n">
        <x:f>G34-F34</x:f>
        <x:v>3192.32</x:v>
      </x:c>
      <x:c r="I34" s="17" t="n">
        <x:f>IF(D34=0,"n.a.",H34/D34)</x:f>
        <x:v>0.3866666666666667</x:v>
      </x:c>
      <x:c r="J34" s="19" t="n">
        <x:f>Inputs!D34</x:f>
        <x:v>344</x:v>
      </x:c>
      <x:c r="K34" s="2"/>
      <x:c r="L34" s="2"/>
      <x:c r="M34" s="2"/>
      <x:c r="N34" s="2"/>
      <x:c r="O34" s="2"/>
      <x:c r="P34" s="2"/>
    </x:row>
    <x:row r="35" ht="22" customHeight="1">
      <x:c r="A35" s="18" t="n">
        <x:f>Inputs!A35</x:f>
        <x:v>45717</x:v>
      </x:c>
      <x:c r="B35" s="19" t="str">
        <x:f>Inputs!B35</x:f>
        <x:v>Delivery</x:v>
      </x:c>
      <x:c r="C35" s="19" t="str">
        <x:f>Inputs!C35</x:f>
        <x:v>Sides</x:v>
      </x:c>
      <x:c r="D35" s="20" t="n">
        <x:f>ROUND(Inputs!D35*Inputs!E35,2)</x:f>
        <x:v>2034</x:v>
      </x:c>
      <x:c r="E35" s="20" t="n">
        <x:f>ROUND(Inputs!D35*Inputs!F35,2)</x:f>
        <x:v>565</x:v>
      </x:c>
      <x:c r="F35" s="10" t="n">
        <x:f>ROUND(D35*ROUND(Inputs!G35*10000,0)/100,0)/100</x:f>
        <x:v>569.52</x:v>
      </x:c>
      <x:c r="G35" s="10" t="n">
        <x:f>D35-E35</x:f>
        <x:v>1469</x:v>
      </x:c>
      <x:c r="H35" s="10" t="n">
        <x:f>G35-F35</x:f>
        <x:v>899.48</x:v>
      </x:c>
      <x:c r="I35" s="17" t="n">
        <x:f>IF(D35=0,"n.a.",H35/D35)</x:f>
        <x:v>0.44222222222222224</x:v>
      </x:c>
      <x:c r="J35" s="19" t="n">
        <x:f>Inputs!D35</x:f>
        <x:v>226</x:v>
      </x:c>
      <x:c r="K35" s="2"/>
      <x:c r="L35" s="2"/>
      <x:c r="M35" s="2"/>
      <x:c r="N35" s="2"/>
      <x:c r="O35" s="2"/>
      <x:c r="P35" s="2"/>
    </x:row>
    <x:row r="36" ht="22" customHeight="1">
      <x:c r="A36" s="18" t="n">
        <x:f>Inputs!A36</x:f>
        <x:v>45717</x:v>
      </x:c>
      <x:c r="B36" s="19" t="str">
        <x:f>Inputs!B36</x:f>
        <x:v>Delivery</x:v>
      </x:c>
      <x:c r="C36" s="19" t="str">
        <x:f>Inputs!C36</x:f>
        <x:v>Drinks</x:v>
      </x:c>
      <x:c r="D36" s="20" t="n">
        <x:f>ROUND(Inputs!D36*Inputs!E36,2)</x:f>
        <x:v>1494</x:v>
      </x:c>
      <x:c r="E36" s="20" t="n">
        <x:f>ROUND(Inputs!D36*Inputs!F36,2)</x:f>
        <x:v>373.5</x:v>
      </x:c>
      <x:c r="F36" s="10" t="n">
        <x:f>ROUND(D36*ROUND(Inputs!G36*10000,0)/100,0)/100</x:f>
        <x:v>418.32</x:v>
      </x:c>
      <x:c r="G36" s="10" t="n">
        <x:f>D36-E36</x:f>
        <x:v>1120.5</x:v>
      </x:c>
      <x:c r="H36" s="10" t="n">
        <x:f>G36-F36</x:f>
        <x:v>702.1800000000001</x:v>
      </x:c>
      <x:c r="I36" s="17" t="n">
        <x:f>IF(D36=0,"n.a.",H36/D36)</x:f>
        <x:v>0.47000000000000003</x:v>
      </x:c>
      <x:c r="J36" s="19" t="n">
        <x:f>Inputs!D36</x:f>
        <x:v>249</x:v>
      </x:c>
      <x:c r="K36" s="2"/>
      <x:c r="L36" s="2"/>
      <x:c r="M36" s="2"/>
      <x:c r="N36" s="2"/>
      <x:c r="O36" s="2"/>
      <x:c r="P36" s="2"/>
    </x:row>
    <x:row r="37" ht="22" customHeight="1">
      <x:c r="A37" s="18" t="n">
        <x:f>Inputs!A37</x:f>
        <x:v>45717</x:v>
      </x:c>
      <x:c r="B37" s="19" t="str">
        <x:f>Inputs!B37</x:f>
        <x:v>Delivery</x:v>
      </x:c>
      <x:c r="C37" s="19" t="str">
        <x:f>Inputs!C37</x:f>
        <x:v>Desserts</x:v>
      </x:c>
      <x:c r="D37" s="20" t="n">
        <x:f>ROUND(Inputs!D37*Inputs!E37,2)</x:f>
        <x:v>1353</x:v>
      </x:c>
      <x:c r="E37" s="20" t="n">
        <x:f>ROUND(Inputs!D37*Inputs!F37,2)</x:f>
        <x:v>430.5</x:v>
      </x:c>
      <x:c r="F37" s="10" t="n">
        <x:f>ROUND(D37*ROUND(Inputs!G37*10000,0)/100,0)/100</x:f>
        <x:v>378.84</x:v>
      </x:c>
      <x:c r="G37" s="10" t="n">
        <x:f>D37-E37</x:f>
        <x:v>922.5</x:v>
      </x:c>
      <x:c r="H37" s="10" t="n">
        <x:f>G37-F37</x:f>
        <x:v>543.6600000000001</x:v>
      </x:c>
      <x:c r="I37" s="17" t="n">
        <x:f>IF(D37=0,"n.a.",H37/D37)</x:f>
        <x:v>0.40181818181818185</x:v>
      </x:c>
      <x:c r="J37" s="19" t="n">
        <x:f>Inputs!D37</x:f>
        <x:v>123</x:v>
      </x:c>
      <x:c r="K37" s="2"/>
      <x:c r="L37" s="2"/>
      <x:c r="M37" s="2"/>
      <x:c r="N37" s="2"/>
      <x:c r="O37" s="2"/>
      <x:c r="P37" s="2"/>
    </x:row>
    <x:row r="38" ht="22" customHeight="1">
      <x:c r="A38" s="18" t="n">
        <x:f>Inputs!A38</x:f>
        <x:v>45748</x:v>
      </x:c>
      <x:c r="B38" s="19" t="str">
        <x:f>Inputs!B38</x:f>
        <x:v>Dine-in</x:v>
      </x:c>
      <x:c r="C38" s="19" t="str">
        <x:f>Inputs!C38</x:f>
        <x:v>Mains</x:v>
      </x:c>
      <x:c r="D38" s="20" t="n">
        <x:f>ROUND(Inputs!D38*Inputs!E38,2)</x:f>
        <x:v>10344</x:v>
      </x:c>
      <x:c r="E38" s="20" t="n">
        <x:f>ROUND(Inputs!D38*Inputs!F38,2)</x:f>
        <x:v>3448</x:v>
      </x:c>
      <x:c r="F38" s="10" t="n">
        <x:f>ROUND(D38*ROUND(Inputs!G38*10000,0)/100,0)/100</x:f>
        <x:v>155.16</x:v>
      </x:c>
      <x:c r="G38" s="10" t="n">
        <x:f>D38-E38</x:f>
        <x:v>6896</x:v>
      </x:c>
      <x:c r="H38" s="10" t="n">
        <x:f>G38-F38</x:f>
        <x:v>6740.84</x:v>
      </x:c>
      <x:c r="I38" s="17" t="n">
        <x:f>IF(D38=0,"n.a.",H38/D38)</x:f>
        <x:v>0.6516666666666667</x:v>
      </x:c>
      <x:c r="J38" s="19" t="n">
        <x:f>Inputs!D38</x:f>
        <x:v>431</x:v>
      </x:c>
      <x:c r="K38" s="2"/>
      <x:c r="L38" s="2"/>
      <x:c r="M38" s="2"/>
      <x:c r="N38" s="2"/>
      <x:c r="O38" s="2"/>
      <x:c r="P38" s="2"/>
    </x:row>
    <x:row r="39" ht="22" customHeight="1">
      <x:c r="A39" s="18" t="n">
        <x:f>Inputs!A39</x:f>
        <x:v>45748</x:v>
      </x:c>
      <x:c r="B39" s="19" t="str">
        <x:f>Inputs!B39</x:f>
        <x:v>Dine-in</x:v>
      </x:c>
      <x:c r="C39" s="19" t="str">
        <x:f>Inputs!C39</x:f>
        <x:v>Sides</x:v>
      </x:c>
      <x:c r="D39" s="20" t="n">
        <x:f>ROUND(Inputs!D39*Inputs!E39,2)</x:f>
        <x:v>2331</x:v>
      </x:c>
      <x:c r="E39" s="20" t="n">
        <x:f>ROUND(Inputs!D39*Inputs!F39,2)</x:f>
        <x:v>647.5</x:v>
      </x:c>
      <x:c r="F39" s="10" t="n">
        <x:f>ROUND(D39*ROUND(Inputs!G39*10000,0)/100,0)/100</x:f>
        <x:v>34.97</x:v>
      </x:c>
      <x:c r="G39" s="10" t="n">
        <x:f>D39-E39</x:f>
        <x:v>1683.5</x:v>
      </x:c>
      <x:c r="H39" s="10" t="n">
        <x:f>G39-F39</x:f>
        <x:v>1648.53</x:v>
      </x:c>
      <x:c r="I39" s="17" t="n">
        <x:f>IF(D39=0,"n.a.",H39/D39)</x:f>
        <x:v>0.7072200772200772</x:v>
      </x:c>
      <x:c r="J39" s="19" t="n">
        <x:f>Inputs!D39</x:f>
        <x:v>259</x:v>
      </x:c>
      <x:c r="K39" s="2"/>
      <x:c r="L39" s="2"/>
      <x:c r="M39" s="2"/>
      <x:c r="N39" s="2"/>
      <x:c r="O39" s="2"/>
      <x:c r="P39" s="2"/>
    </x:row>
    <x:row r="40" ht="22" customHeight="1">
      <x:c r="A40" s="18" t="n">
        <x:f>Inputs!A40</x:f>
        <x:v>45748</x:v>
      </x:c>
      <x:c r="B40" s="19" t="str">
        <x:f>Inputs!B40</x:f>
        <x:v>Dine-in</x:v>
      </x:c>
      <x:c r="C40" s="19" t="str">
        <x:f>Inputs!C40</x:f>
        <x:v>Drinks</x:v>
      </x:c>
      <x:c r="D40" s="20" t="n">
        <x:f>ROUND(Inputs!D40*Inputs!E40,2)</x:f>
        <x:v>1914</x:v>
      </x:c>
      <x:c r="E40" s="20" t="n">
        <x:f>ROUND(Inputs!D40*Inputs!F40,2)</x:f>
        <x:v>478.5</x:v>
      </x:c>
      <x:c r="F40" s="10" t="n">
        <x:f>ROUND(D40*ROUND(Inputs!G40*10000,0)/100,0)/100</x:f>
        <x:v>28.71</x:v>
      </x:c>
      <x:c r="G40" s="10" t="n">
        <x:f>D40-E40</x:f>
        <x:v>1435.5</x:v>
      </x:c>
      <x:c r="H40" s="10" t="n">
        <x:f>G40-F40</x:f>
        <x:v>1406.79</x:v>
      </x:c>
      <x:c r="I40" s="17" t="n">
        <x:f>IF(D40=0,"n.a.",H40/D40)</x:f>
        <x:v>0.735</x:v>
      </x:c>
      <x:c r="J40" s="19" t="n">
        <x:f>Inputs!D40</x:f>
        <x:v>319</x:v>
      </x:c>
      <x:c r="K40" s="2"/>
      <x:c r="L40" s="2"/>
      <x:c r="M40" s="2"/>
      <x:c r="N40" s="2"/>
      <x:c r="O40" s="2"/>
      <x:c r="P40" s="2"/>
    </x:row>
    <x:row r="41" ht="22" customHeight="1">
      <x:c r="A41" s="18" t="n">
        <x:f>Inputs!A41</x:f>
        <x:v>45748</x:v>
      </x:c>
      <x:c r="B41" s="19" t="str">
        <x:f>Inputs!B41</x:f>
        <x:v>Dine-in</x:v>
      </x:c>
      <x:c r="C41" s="19" t="str">
        <x:f>Inputs!C41</x:f>
        <x:v>Desserts</x:v>
      </x:c>
      <x:c r="D41" s="20" t="n">
        <x:f>ROUND(Inputs!D41*Inputs!E41,2)</x:f>
        <x:v>1639</x:v>
      </x:c>
      <x:c r="E41" s="20" t="n">
        <x:f>ROUND(Inputs!D41*Inputs!F41,2)</x:f>
        <x:v>521.5</x:v>
      </x:c>
      <x:c r="F41" s="10" t="n">
        <x:f>ROUND(D41*ROUND(Inputs!G41*10000,0)/100,0)/100</x:f>
        <x:v>24.59</x:v>
      </x:c>
      <x:c r="G41" s="10" t="n">
        <x:f>D41-E41</x:f>
        <x:v>1117.5</x:v>
      </x:c>
      <x:c r="H41" s="10" t="n">
        <x:f>G41-F41</x:f>
        <x:v>1092.91</x:v>
      </x:c>
      <x:c r="I41" s="17" t="n">
        <x:f>IF(D41=0,"n.a.",H41/D41)</x:f>
        <x:v>0.6668151311775473</x:v>
      </x:c>
      <x:c r="J41" s="19" t="n">
        <x:f>Inputs!D41</x:f>
        <x:v>149</x:v>
      </x:c>
      <x:c r="K41" s="2"/>
      <x:c r="L41" s="2"/>
      <x:c r="M41" s="2"/>
      <x:c r="N41" s="2"/>
      <x:c r="O41" s="2"/>
      <x:c r="P41" s="2"/>
    </x:row>
    <x:row r="42" ht="22" customHeight="1">
      <x:c r="A42" s="18" t="n">
        <x:f>Inputs!A42</x:f>
        <x:v>45748</x:v>
      </x:c>
      <x:c r="B42" s="19" t="str">
        <x:f>Inputs!B42</x:f>
        <x:v>Pickup</x:v>
      </x:c>
      <x:c r="C42" s="19" t="str">
        <x:f>Inputs!C42</x:f>
        <x:v>Mains</x:v>
      </x:c>
      <x:c r="D42" s="20" t="n">
        <x:f>ROUND(Inputs!D42*Inputs!E42,2)</x:f>
        <x:v>6600</x:v>
      </x:c>
      <x:c r="E42" s="20" t="n">
        <x:f>ROUND(Inputs!D42*Inputs!F42,2)</x:f>
        <x:v>2200</x:v>
      </x:c>
      <x:c r="F42" s="10" t="n">
        <x:f>ROUND(D42*ROUND(Inputs!G42*10000,0)/100,0)/100</x:f>
        <x:v>99</x:v>
      </x:c>
      <x:c r="G42" s="10" t="n">
        <x:f>D42-E42</x:f>
        <x:v>4400</x:v>
      </x:c>
      <x:c r="H42" s="10" t="n">
        <x:f>G42-F42</x:f>
        <x:v>4301</x:v>
      </x:c>
      <x:c r="I42" s="17" t="n">
        <x:f>IF(D42=0,"n.a.",H42/D42)</x:f>
        <x:v>0.6516666666666666</x:v>
      </x:c>
      <x:c r="J42" s="19" t="n">
        <x:f>Inputs!D42</x:f>
        <x:v>275</x:v>
      </x:c>
      <x:c r="K42" s="2"/>
      <x:c r="L42" s="2"/>
      <x:c r="M42" s="2"/>
      <x:c r="N42" s="2"/>
      <x:c r="O42" s="2"/>
      <x:c r="P42" s="2"/>
    </x:row>
    <x:row r="43" ht="22" customHeight="1">
      <x:c r="A43" s="18" t="n">
        <x:f>Inputs!A43</x:f>
        <x:v>45748</x:v>
      </x:c>
      <x:c r="B43" s="19" t="str">
        <x:f>Inputs!B43</x:f>
        <x:v>Pickup</x:v>
      </x:c>
      <x:c r="C43" s="19" t="str">
        <x:f>Inputs!C43</x:f>
        <x:v>Sides</x:v>
      </x:c>
      <x:c r="D43" s="20" t="n">
        <x:f>ROUND(Inputs!D43*Inputs!E43,2)</x:f>
        <x:v>1395</x:v>
      </x:c>
      <x:c r="E43" s="20" t="n">
        <x:f>ROUND(Inputs!D43*Inputs!F43,2)</x:f>
        <x:v>387.5</x:v>
      </x:c>
      <x:c r="F43" s="10" t="n">
        <x:f>ROUND(D43*ROUND(Inputs!G43*10000,0)/100,0)/100</x:f>
        <x:v>20.93</x:v>
      </x:c>
      <x:c r="G43" s="10" t="n">
        <x:f>D43-E43</x:f>
        <x:v>1007.5</x:v>
      </x:c>
      <x:c r="H43" s="10" t="n">
        <x:f>G43-F43</x:f>
        <x:v>986.57</x:v>
      </x:c>
      <x:c r="I43" s="17" t="n">
        <x:f>IF(D43=0,"n.a.",H43/D43)</x:f>
        <x:v>0.7072186379928316</x:v>
      </x:c>
      <x:c r="J43" s="19" t="n">
        <x:f>Inputs!D43</x:f>
        <x:v>155</x:v>
      </x:c>
      <x:c r="K43" s="2"/>
      <x:c r="L43" s="2"/>
      <x:c r="M43" s="2"/>
      <x:c r="N43" s="2"/>
      <x:c r="O43" s="2"/>
      <x:c r="P43" s="2"/>
    </x:row>
    <x:row r="44" ht="22" customHeight="1">
      <x:c r="A44" s="18" t="n">
        <x:f>Inputs!A44</x:f>
        <x:v>45748</x:v>
      </x:c>
      <x:c r="B44" s="19" t="str">
        <x:f>Inputs!B44</x:f>
        <x:v>Pickup</x:v>
      </x:c>
      <x:c r="C44" s="19" t="str">
        <x:f>Inputs!C44</x:f>
        <x:v>Drinks</x:v>
      </x:c>
      <x:c r="D44" s="20" t="n">
        <x:f>ROUND(Inputs!D44*Inputs!E44,2)</x:f>
        <x:v>1140</x:v>
      </x:c>
      <x:c r="E44" s="20" t="n">
        <x:f>ROUND(Inputs!D44*Inputs!F44,2)</x:f>
        <x:v>285</x:v>
      </x:c>
      <x:c r="F44" s="10" t="n">
        <x:f>ROUND(D44*ROUND(Inputs!G44*10000,0)/100,0)/100</x:f>
        <x:v>17.1</x:v>
      </x:c>
      <x:c r="G44" s="10" t="n">
        <x:f>D44-E44</x:f>
        <x:v>855</x:v>
      </x:c>
      <x:c r="H44" s="10" t="n">
        <x:f>G44-F44</x:f>
        <x:v>837.9</x:v>
      </x:c>
      <x:c r="I44" s="17" t="n">
        <x:f>IF(D44=0,"n.a.",H44/D44)</x:f>
        <x:v>0.735</x:v>
      </x:c>
      <x:c r="J44" s="19" t="n">
        <x:f>Inputs!D44</x:f>
        <x:v>190</x:v>
      </x:c>
      <x:c r="K44" s="2"/>
      <x:c r="L44" s="2"/>
      <x:c r="M44" s="2"/>
      <x:c r="N44" s="2"/>
      <x:c r="O44" s="2"/>
      <x:c r="P44" s="2"/>
    </x:row>
    <x:row r="45" ht="22" customHeight="1">
      <x:c r="A45" s="18" t="n">
        <x:f>Inputs!A45</x:f>
        <x:v>45748</x:v>
      </x:c>
      <x:c r="B45" s="19" t="str">
        <x:f>Inputs!B45</x:f>
        <x:v>Pickup</x:v>
      </x:c>
      <x:c r="C45" s="19" t="str">
        <x:f>Inputs!C45</x:f>
        <x:v>Desserts</x:v>
      </x:c>
      <x:c r="D45" s="20" t="n">
        <x:f>ROUND(Inputs!D45*Inputs!E45,2)</x:f>
        <x:v>1023</x:v>
      </x:c>
      <x:c r="E45" s="20" t="n">
        <x:f>ROUND(Inputs!D45*Inputs!F45,2)</x:f>
        <x:v>325.5</x:v>
      </x:c>
      <x:c r="F45" s="10" t="n">
        <x:f>ROUND(D45*ROUND(Inputs!G45*10000,0)/100,0)/100</x:f>
        <x:v>15.35</x:v>
      </x:c>
      <x:c r="G45" s="10" t="n">
        <x:f>D45-E45</x:f>
        <x:v>697.5</x:v>
      </x:c>
      <x:c r="H45" s="10" t="n">
        <x:f>G45-F45</x:f>
        <x:v>682.15</x:v>
      </x:c>
      <x:c r="I45" s="17" t="n">
        <x:f>IF(D45=0,"n.a.",H45/D45)</x:f>
        <x:v>0.666813294232649</x:v>
      </x:c>
      <x:c r="J45" s="19" t="n">
        <x:f>Inputs!D45</x:f>
        <x:v>93</x:v>
      </x:c>
      <x:c r="K45" s="2"/>
      <x:c r="L45" s="2"/>
      <x:c r="M45" s="2"/>
      <x:c r="N45" s="2"/>
      <x:c r="O45" s="2"/>
      <x:c r="P45" s="2"/>
    </x:row>
    <x:row r="46" ht="22" customHeight="1">
      <x:c r="A46" s="18" t="n">
        <x:f>Inputs!A46</x:f>
        <x:v>45748</x:v>
      </x:c>
      <x:c r="B46" s="19" t="str">
        <x:f>Inputs!B46</x:f>
        <x:v>Delivery</x:v>
      </x:c>
      <x:c r="C46" s="19" t="str">
        <x:f>Inputs!C46</x:f>
        <x:v>Mains</x:v>
      </x:c>
      <x:c r="D46" s="20" t="n">
        <x:f>ROUND(Inputs!D46*Inputs!E46,2)</x:f>
        <x:v>7440</x:v>
      </x:c>
      <x:c r="E46" s="20" t="n">
        <x:f>ROUND(Inputs!D46*Inputs!F46,2)</x:f>
        <x:v>2480</x:v>
      </x:c>
      <x:c r="F46" s="10" t="n">
        <x:f>ROUND(D46*ROUND(Inputs!G46*10000,0)/100,0)/100</x:f>
        <x:v>2083.2</x:v>
      </x:c>
      <x:c r="G46" s="10" t="n">
        <x:f>D46-E46</x:f>
        <x:v>4960</x:v>
      </x:c>
      <x:c r="H46" s="10" t="n">
        <x:f>G46-F46</x:f>
        <x:v>2876.8</x:v>
      </x:c>
      <x:c r="I46" s="17" t="n">
        <x:f>IF(D46=0,"n.a.",H46/D46)</x:f>
        <x:v>0.3866666666666667</x:v>
      </x:c>
      <x:c r="J46" s="19" t="n">
        <x:f>Inputs!D46</x:f>
        <x:v>310</x:v>
      </x:c>
      <x:c r="K46" s="2"/>
      <x:c r="L46" s="2"/>
      <x:c r="M46" s="2"/>
      <x:c r="N46" s="2"/>
      <x:c r="O46" s="2"/>
      <x:c r="P46" s="2"/>
    </x:row>
    <x:row r="47" ht="22" customHeight="1">
      <x:c r="A47" s="18" t="n">
        <x:f>Inputs!A47</x:f>
        <x:v>45748</x:v>
      </x:c>
      <x:c r="B47" s="19" t="str">
        <x:f>Inputs!B47</x:f>
        <x:v>Delivery</x:v>
      </x:c>
      <x:c r="C47" s="19" t="str">
        <x:f>Inputs!C47</x:f>
        <x:v>Sides</x:v>
      </x:c>
      <x:c r="D47" s="20" t="n">
        <x:f>ROUND(Inputs!D47*Inputs!E47,2)</x:f>
        <x:v>1764</x:v>
      </x:c>
      <x:c r="E47" s="20" t="n">
        <x:f>ROUND(Inputs!D47*Inputs!F47,2)</x:f>
        <x:v>490</x:v>
      </x:c>
      <x:c r="F47" s="10" t="n">
        <x:f>ROUND(D47*ROUND(Inputs!G47*10000,0)/100,0)/100</x:f>
        <x:v>493.92</x:v>
      </x:c>
      <x:c r="G47" s="10" t="n">
        <x:f>D47-E47</x:f>
        <x:v>1274</x:v>
      </x:c>
      <x:c r="H47" s="10" t="n">
        <x:f>G47-F47</x:f>
        <x:v>780.0799999999999</x:v>
      </x:c>
      <x:c r="I47" s="17" t="n">
        <x:f>IF(D47=0,"n.a.",H47/D47)</x:f>
        <x:v>0.4422222222222222</x:v>
      </x:c>
      <x:c r="J47" s="19" t="n">
        <x:f>Inputs!D47</x:f>
        <x:v>196</x:v>
      </x:c>
      <x:c r="K47" s="2"/>
      <x:c r="L47" s="2"/>
      <x:c r="M47" s="2"/>
      <x:c r="N47" s="2"/>
      <x:c r="O47" s="2"/>
      <x:c r="P47" s="2"/>
    </x:row>
    <x:row r="48" ht="22" customHeight="1">
      <x:c r="A48" s="18" t="n">
        <x:f>Inputs!A48</x:f>
        <x:v>45748</x:v>
      </x:c>
      <x:c r="B48" s="19" t="str">
        <x:f>Inputs!B48</x:f>
        <x:v>Delivery</x:v>
      </x:c>
      <x:c r="C48" s="19" t="str">
        <x:f>Inputs!C48</x:f>
        <x:v>Drinks</x:v>
      </x:c>
      <x:c r="D48" s="20" t="n">
        <x:f>ROUND(Inputs!D48*Inputs!E48,2)</x:f>
        <x:v>1374</x:v>
      </x:c>
      <x:c r="E48" s="20" t="n">
        <x:f>ROUND(Inputs!D48*Inputs!F48,2)</x:f>
        <x:v>343.5</x:v>
      </x:c>
      <x:c r="F48" s="10" t="n">
        <x:f>ROUND(D48*ROUND(Inputs!G48*10000,0)/100,0)/100</x:f>
        <x:v>384.72</x:v>
      </x:c>
      <x:c r="G48" s="10" t="n">
        <x:f>D48-E48</x:f>
        <x:v>1030.5</x:v>
      </x:c>
      <x:c r="H48" s="10" t="n">
        <x:f>G48-F48</x:f>
        <x:v>645.78</x:v>
      </x:c>
      <x:c r="I48" s="17" t="n">
        <x:f>IF(D48=0,"n.a.",H48/D48)</x:f>
        <x:v>0.47</x:v>
      </x:c>
      <x:c r="J48" s="19" t="n">
        <x:f>Inputs!D48</x:f>
        <x:v>229</x:v>
      </x:c>
      <x:c r="K48" s="2"/>
      <x:c r="L48" s="2"/>
      <x:c r="M48" s="2"/>
      <x:c r="N48" s="2"/>
      <x:c r="O48" s="2"/>
      <x:c r="P48" s="2"/>
    </x:row>
    <x:row r="49" ht="22" customHeight="1">
      <x:c r="A49" s="18" t="n">
        <x:f>Inputs!A49</x:f>
        <x:v>45748</x:v>
      </x:c>
      <x:c r="B49" s="19" t="str">
        <x:f>Inputs!B49</x:f>
        <x:v>Delivery</x:v>
      </x:c>
      <x:c r="C49" s="19" t="str">
        <x:f>Inputs!C49</x:f>
        <x:v>Desserts</x:v>
      </x:c>
      <x:c r="D49" s="20" t="n">
        <x:f>ROUND(Inputs!D49*Inputs!E49,2)</x:f>
        <x:v>1254</x:v>
      </x:c>
      <x:c r="E49" s="20" t="n">
        <x:f>ROUND(Inputs!D49*Inputs!F49,2)</x:f>
        <x:v>399</x:v>
      </x:c>
      <x:c r="F49" s="10" t="n">
        <x:f>ROUND(D49*ROUND(Inputs!G49*10000,0)/100,0)/100</x:f>
        <x:v>351.12</x:v>
      </x:c>
      <x:c r="G49" s="10" t="n">
        <x:f>D49-E49</x:f>
        <x:v>855</x:v>
      </x:c>
      <x:c r="H49" s="10" t="n">
        <x:f>G49-F49</x:f>
        <x:v>503.88</x:v>
      </x:c>
      <x:c r="I49" s="17" t="n">
        <x:f>IF(D49=0,"n.a.",H49/D49)</x:f>
        <x:v>0.4018181818181818</x:v>
      </x:c>
      <x:c r="J49" s="19" t="n">
        <x:f>Inputs!D49</x:f>
        <x:v>114</x:v>
      </x:c>
      <x:c r="K49" s="2"/>
      <x:c r="L49" s="2"/>
      <x:c r="M49" s="2"/>
      <x:c r="N49" s="2"/>
      <x:c r="O49" s="2"/>
      <x:c r="P49" s="2"/>
    </x:row>
    <x:row r="50" ht="22" customHeight="1">
      <x:c r="A50" s="18" t="n">
        <x:f>Inputs!A50</x:f>
        <x:v>45778</x:v>
      </x:c>
      <x:c r="B50" s="19" t="str">
        <x:f>Inputs!B50</x:f>
        <x:v>Dine-in</x:v>
      </x:c>
      <x:c r="C50" s="19" t="str">
        <x:f>Inputs!C50</x:f>
        <x:v>Mains</x:v>
      </x:c>
      <x:c r="D50" s="20" t="n">
        <x:f>ROUND(Inputs!D50*Inputs!E50,2)</x:f>
        <x:v>9240</x:v>
      </x:c>
      <x:c r="E50" s="20" t="n">
        <x:f>ROUND(Inputs!D50*Inputs!F50,2)</x:f>
        <x:v>3080</x:v>
      </x:c>
      <x:c r="F50" s="10" t="n">
        <x:f>ROUND(D50*ROUND(Inputs!G50*10000,0)/100,0)/100</x:f>
        <x:v>138.6</x:v>
      </x:c>
      <x:c r="G50" s="10" t="n">
        <x:f>D50-E50</x:f>
        <x:v>6160</x:v>
      </x:c>
      <x:c r="H50" s="10" t="n">
        <x:f>G50-F50</x:f>
        <x:v>6021.4</x:v>
      </x:c>
      <x:c r="I50" s="17" t="n">
        <x:f>IF(D50=0,"n.a.",H50/D50)</x:f>
        <x:v>0.6516666666666666</x:v>
      </x:c>
      <x:c r="J50" s="19" t="n">
        <x:f>Inputs!D50</x:f>
        <x:v>385</x:v>
      </x:c>
      <x:c r="K50" s="2"/>
      <x:c r="L50" s="2"/>
      <x:c r="M50" s="2"/>
      <x:c r="N50" s="2"/>
      <x:c r="O50" s="2"/>
      <x:c r="P50" s="2"/>
    </x:row>
    <x:row r="51" ht="22" customHeight="1">
      <x:c r="A51" s="18" t="n">
        <x:f>Inputs!A51</x:f>
        <x:v>45778</x:v>
      </x:c>
      <x:c r="B51" s="19" t="str">
        <x:f>Inputs!B51</x:f>
        <x:v>Dine-in</x:v>
      </x:c>
      <x:c r="C51" s="19" t="str">
        <x:f>Inputs!C51</x:f>
        <x:v>Sides</x:v>
      </x:c>
      <x:c r="D51" s="20" t="n">
        <x:f>ROUND(Inputs!D51*Inputs!E51,2)</x:f>
        <x:v>2070</x:v>
      </x:c>
      <x:c r="E51" s="20" t="n">
        <x:f>ROUND(Inputs!D51*Inputs!F51,2)</x:f>
        <x:v>575</x:v>
      </x:c>
      <x:c r="F51" s="10" t="n">
        <x:f>ROUND(D51*ROUND(Inputs!G51*10000,0)/100,0)/100</x:f>
        <x:v>31.05</x:v>
      </x:c>
      <x:c r="G51" s="10" t="n">
        <x:f>D51-E51</x:f>
        <x:v>1495</x:v>
      </x:c>
      <x:c r="H51" s="10" t="n">
        <x:f>G51-F51</x:f>
        <x:v>1463.95</x:v>
      </x:c>
      <x:c r="I51" s="17" t="n">
        <x:f>IF(D51=0,"n.a.",H51/D51)</x:f>
        <x:v>0.7072222222222222</x:v>
      </x:c>
      <x:c r="J51" s="19" t="n">
        <x:f>Inputs!D51</x:f>
        <x:v>230</x:v>
      </x:c>
      <x:c r="K51" s="2"/>
      <x:c r="L51" s="2"/>
      <x:c r="M51" s="2"/>
      <x:c r="N51" s="2"/>
      <x:c r="O51" s="2"/>
      <x:c r="P51" s="2"/>
    </x:row>
    <x:row r="52" ht="22" customHeight="1">
      <x:c r="A52" s="18" t="n">
        <x:f>Inputs!A52</x:f>
        <x:v>45778</x:v>
      </x:c>
      <x:c r="B52" s="19" t="str">
        <x:f>Inputs!B52</x:f>
        <x:v>Dine-in</x:v>
      </x:c>
      <x:c r="C52" s="19" t="str">
        <x:f>Inputs!C52</x:f>
        <x:v>Drinks</x:v>
      </x:c>
      <x:c r="D52" s="20" t="n">
        <x:f>ROUND(Inputs!D52*Inputs!E52,2)</x:f>
        <x:v>1644</x:v>
      </x:c>
      <x:c r="E52" s="20" t="n">
        <x:f>ROUND(Inputs!D52*Inputs!F52,2)</x:f>
        <x:v>411</x:v>
      </x:c>
      <x:c r="F52" s="10" t="n">
        <x:f>ROUND(D52*ROUND(Inputs!G52*10000,0)/100,0)/100</x:f>
        <x:v>24.66</x:v>
      </x:c>
      <x:c r="G52" s="10" t="n">
        <x:f>D52-E52</x:f>
        <x:v>1233</x:v>
      </x:c>
      <x:c r="H52" s="10" t="n">
        <x:f>G52-F52</x:f>
        <x:v>1208.34</x:v>
      </x:c>
      <x:c r="I52" s="17" t="n">
        <x:f>IF(D52=0,"n.a.",H52/D52)</x:f>
        <x:v>0.735</x:v>
      </x:c>
      <x:c r="J52" s="19" t="n">
        <x:f>Inputs!D52</x:f>
        <x:v>274</x:v>
      </x:c>
      <x:c r="K52" s="2"/>
      <x:c r="L52" s="2"/>
      <x:c r="M52" s="2"/>
      <x:c r="N52" s="2"/>
      <x:c r="O52" s="2"/>
      <x:c r="P52" s="2"/>
    </x:row>
    <x:row r="53" ht="22" customHeight="1">
      <x:c r="A53" s="18" t="n">
        <x:f>Inputs!A53</x:f>
        <x:v>45778</x:v>
      </x:c>
      <x:c r="B53" s="19" t="str">
        <x:f>Inputs!B53</x:f>
        <x:v>Dine-in</x:v>
      </x:c>
      <x:c r="C53" s="19" t="str">
        <x:f>Inputs!C53</x:f>
        <x:v>Desserts</x:v>
      </x:c>
      <x:c r="D53" s="20" t="n">
        <x:f>ROUND(Inputs!D53*Inputs!E53,2)</x:f>
        <x:v>1430</x:v>
      </x:c>
      <x:c r="E53" s="20" t="n">
        <x:f>ROUND(Inputs!D53*Inputs!F53,2)</x:f>
        <x:v>455</x:v>
      </x:c>
      <x:c r="F53" s="10" t="n">
        <x:f>ROUND(D53*ROUND(Inputs!G53*10000,0)/100,0)/100</x:f>
        <x:v>21.45</x:v>
      </x:c>
      <x:c r="G53" s="10" t="n">
        <x:f>D53-E53</x:f>
        <x:v>975</x:v>
      </x:c>
      <x:c r="H53" s="10" t="n">
        <x:f>G53-F53</x:f>
        <x:v>953.55</x:v>
      </x:c>
      <x:c r="I53" s="17" t="n">
        <x:f>IF(D53=0,"n.a.",H53/D53)</x:f>
        <x:v>0.6668181818181818</x:v>
      </x:c>
      <x:c r="J53" s="19" t="n">
        <x:f>Inputs!D53</x:f>
        <x:v>130</x:v>
      </x:c>
      <x:c r="K53" s="2"/>
      <x:c r="L53" s="2"/>
      <x:c r="M53" s="2"/>
      <x:c r="N53" s="2"/>
      <x:c r="O53" s="2"/>
      <x:c r="P53" s="2"/>
    </x:row>
    <x:row r="54" ht="22" customHeight="1">
      <x:c r="A54" s="18" t="n">
        <x:f>Inputs!A54</x:f>
        <x:v>45778</x:v>
      </x:c>
      <x:c r="B54" s="19" t="str">
        <x:f>Inputs!B54</x:f>
        <x:v>Pickup</x:v>
      </x:c>
      <x:c r="C54" s="19" t="str">
        <x:f>Inputs!C54</x:f>
        <x:v>Mains</x:v>
      </x:c>
      <x:c r="D54" s="20" t="n">
        <x:f>ROUND(Inputs!D54*Inputs!E54,2)</x:f>
        <x:v>5712</x:v>
      </x:c>
      <x:c r="E54" s="20" t="n">
        <x:f>ROUND(Inputs!D54*Inputs!F54,2)</x:f>
        <x:v>1904</x:v>
      </x:c>
      <x:c r="F54" s="10" t="n">
        <x:f>ROUND(D54*ROUND(Inputs!G54*10000,0)/100,0)/100</x:f>
        <x:v>85.68</x:v>
      </x:c>
      <x:c r="G54" s="10" t="n">
        <x:f>D54-E54</x:f>
        <x:v>3808</x:v>
      </x:c>
      <x:c r="H54" s="10" t="n">
        <x:f>G54-F54</x:f>
        <x:v>3722.32</x:v>
      </x:c>
      <x:c r="I54" s="17" t="n">
        <x:f>IF(D54=0,"n.a.",H54/D54)</x:f>
        <x:v>0.6516666666666667</x:v>
      </x:c>
      <x:c r="J54" s="19" t="n">
        <x:f>Inputs!D54</x:f>
        <x:v>238</x:v>
      </x:c>
      <x:c r="K54" s="2"/>
      <x:c r="L54" s="2"/>
      <x:c r="M54" s="2"/>
      <x:c r="N54" s="2"/>
      <x:c r="O54" s="2"/>
      <x:c r="P54" s="2"/>
    </x:row>
    <x:row r="55" ht="22" customHeight="1">
      <x:c r="A55" s="18" t="n">
        <x:f>Inputs!A55</x:f>
        <x:v>45778</x:v>
      </x:c>
      <x:c r="B55" s="19" t="str">
        <x:f>Inputs!B55</x:f>
        <x:v>Pickup</x:v>
      </x:c>
      <x:c r="C55" s="19" t="str">
        <x:f>Inputs!C55</x:f>
        <x:v>Sides</x:v>
      </x:c>
      <x:c r="D55" s="20" t="n">
        <x:f>ROUND(Inputs!D55*Inputs!E55,2)</x:f>
        <x:v>1449</x:v>
      </x:c>
      <x:c r="E55" s="20" t="n">
        <x:f>ROUND(Inputs!D55*Inputs!F55,2)</x:f>
        <x:v>402.5</x:v>
      </x:c>
      <x:c r="F55" s="10" t="n">
        <x:f>ROUND(D55*ROUND(Inputs!G55*10000,0)/100,0)/100</x:f>
        <x:v>21.74</x:v>
      </x:c>
      <x:c r="G55" s="10" t="n">
        <x:f>D55-E55</x:f>
        <x:v>1046.5</x:v>
      </x:c>
      <x:c r="H55" s="10" t="n">
        <x:f>G55-F55</x:f>
        <x:v>1024.76</x:v>
      </x:c>
      <x:c r="I55" s="17" t="n">
        <x:f>IF(D55=0,"n.a.",H55/D55)</x:f>
        <x:v>0.7072187715665976</x:v>
      </x:c>
      <x:c r="J55" s="19" t="n">
        <x:f>Inputs!D55</x:f>
        <x:v>161</x:v>
      </x:c>
      <x:c r="K55" s="2"/>
      <x:c r="L55" s="2"/>
      <x:c r="M55" s="2"/>
      <x:c r="N55" s="2"/>
      <x:c r="O55" s="2"/>
      <x:c r="P55" s="2"/>
    </x:row>
    <x:row r="56" ht="22" customHeight="1">
      <x:c r="A56" s="18" t="n">
        <x:f>Inputs!A56</x:f>
        <x:v>45778</x:v>
      </x:c>
      <x:c r="B56" s="19" t="str">
        <x:f>Inputs!B56</x:f>
        <x:v>Pickup</x:v>
      </x:c>
      <x:c r="C56" s="19" t="str">
        <x:f>Inputs!C56</x:f>
        <x:v>Drinks</x:v>
      </x:c>
      <x:c r="D56" s="20" t="n">
        <x:f>ROUND(Inputs!D56*Inputs!E56,2)</x:f>
        <x:v>1110</x:v>
      </x:c>
      <x:c r="E56" s="20" t="n">
        <x:f>ROUND(Inputs!D56*Inputs!F56,2)</x:f>
        <x:v>277.5</x:v>
      </x:c>
      <x:c r="F56" s="10" t="n">
        <x:f>ROUND(D56*ROUND(Inputs!G56*10000,0)/100,0)/100</x:f>
        <x:v>16.65</x:v>
      </x:c>
      <x:c r="G56" s="10" t="n">
        <x:f>D56-E56</x:f>
        <x:v>832.5</x:v>
      </x:c>
      <x:c r="H56" s="10" t="n">
        <x:f>G56-F56</x:f>
        <x:v>815.85</x:v>
      </x:c>
      <x:c r="I56" s="17" t="n">
        <x:f>IF(D56=0,"n.a.",H56/D56)</x:f>
        <x:v>0.735</x:v>
      </x:c>
      <x:c r="J56" s="19" t="n">
        <x:f>Inputs!D56</x:f>
        <x:v>185</x:v>
      </x:c>
      <x:c r="K56" s="2"/>
      <x:c r="L56" s="2"/>
      <x:c r="M56" s="2"/>
      <x:c r="N56" s="2"/>
      <x:c r="O56" s="2"/>
      <x:c r="P56" s="2"/>
    </x:row>
    <x:row r="57" ht="22" customHeight="1">
      <x:c r="A57" s="18" t="n">
        <x:f>Inputs!A57</x:f>
        <x:v>45778</x:v>
      </x:c>
      <x:c r="B57" s="19" t="str">
        <x:f>Inputs!B57</x:f>
        <x:v>Pickup</x:v>
      </x:c>
      <x:c r="C57" s="19" t="str">
        <x:f>Inputs!C57</x:f>
        <x:v>Desserts</x:v>
      </x:c>
      <x:c r="D57" s="20" t="n">
        <x:f>ROUND(Inputs!D57*Inputs!E57,2)</x:f>
        <x:v>979</x:v>
      </x:c>
      <x:c r="E57" s="20" t="n">
        <x:f>ROUND(Inputs!D57*Inputs!F57,2)</x:f>
        <x:v>311.5</x:v>
      </x:c>
      <x:c r="F57" s="10" t="n">
        <x:f>ROUND(D57*ROUND(Inputs!G57*10000,0)/100,0)/100</x:f>
        <x:v>14.69</x:v>
      </x:c>
      <x:c r="G57" s="10" t="n">
        <x:f>D57-E57</x:f>
        <x:v>667.5</x:v>
      </x:c>
      <x:c r="H57" s="10" t="n">
        <x:f>G57-F57</x:f>
        <x:v>652.81</x:v>
      </x:c>
      <x:c r="I57" s="17" t="n">
        <x:f>IF(D57=0,"n.a.",H57/D57)</x:f>
        <x:v>0.6668130745658835</x:v>
      </x:c>
      <x:c r="J57" s="19" t="n">
        <x:f>Inputs!D57</x:f>
        <x:v>89</x:v>
      </x:c>
      <x:c r="K57" s="2"/>
      <x:c r="L57" s="2"/>
      <x:c r="M57" s="2"/>
      <x:c r="N57" s="2"/>
      <x:c r="O57" s="2"/>
      <x:c r="P57" s="2"/>
    </x:row>
    <x:row r="58" ht="22" customHeight="1">
      <x:c r="A58" s="18" t="n">
        <x:f>Inputs!A58</x:f>
        <x:v>45778</x:v>
      </x:c>
      <x:c r="B58" s="19" t="str">
        <x:f>Inputs!B58</x:f>
        <x:v>Delivery</x:v>
      </x:c>
      <x:c r="C58" s="19" t="str">
        <x:f>Inputs!C58</x:f>
        <x:v>Mains</x:v>
      </x:c>
      <x:c r="D58" s="20" t="n">
        <x:f>ROUND(Inputs!D58*Inputs!E58,2)</x:f>
        <x:v>6912</x:v>
      </x:c>
      <x:c r="E58" s="20" t="n">
        <x:f>ROUND(Inputs!D58*Inputs!F58,2)</x:f>
        <x:v>2304</x:v>
      </x:c>
      <x:c r="F58" s="10" t="n">
        <x:f>ROUND(D58*ROUND(Inputs!G58*10000,0)/100,0)/100</x:f>
        <x:v>1935.36</x:v>
      </x:c>
      <x:c r="G58" s="10" t="n">
        <x:f>D58-E58</x:f>
        <x:v>4608</x:v>
      </x:c>
      <x:c r="H58" s="10" t="n">
        <x:f>G58-F58</x:f>
        <x:v>2672.6400000000003</x:v>
      </x:c>
      <x:c r="I58" s="17" t="n">
        <x:f>IF(D58=0,"n.a.",H58/D58)</x:f>
        <x:v>0.3866666666666667</x:v>
      </x:c>
      <x:c r="J58" s="19" t="n">
        <x:f>Inputs!D58</x:f>
        <x:v>288</x:v>
      </x:c>
      <x:c r="K58" s="2"/>
      <x:c r="L58" s="2"/>
      <x:c r="M58" s="2"/>
      <x:c r="N58" s="2"/>
      <x:c r="O58" s="2"/>
      <x:c r="P58" s="2"/>
    </x:row>
    <x:row r="59" ht="22" customHeight="1">
      <x:c r="A59" s="18" t="n">
        <x:f>Inputs!A59</x:f>
        <x:v>45778</x:v>
      </x:c>
      <x:c r="B59" s="19" t="str">
        <x:f>Inputs!B59</x:f>
        <x:v>Delivery</x:v>
      </x:c>
      <x:c r="C59" s="19" t="str">
        <x:f>Inputs!C59</x:f>
        <x:v>Sides</x:v>
      </x:c>
      <x:c r="D59" s="20" t="n">
        <x:f>ROUND(Inputs!D59*Inputs!E59,2)</x:f>
        <x:v>1737</x:v>
      </x:c>
      <x:c r="E59" s="20" t="n">
        <x:f>ROUND(Inputs!D59*Inputs!F59,2)</x:f>
        <x:v>482.5</x:v>
      </x:c>
      <x:c r="F59" s="10" t="n">
        <x:f>ROUND(D59*ROUND(Inputs!G59*10000,0)/100,0)/100</x:f>
        <x:v>486.36</x:v>
      </x:c>
      <x:c r="G59" s="10" t="n">
        <x:f>D59-E59</x:f>
        <x:v>1254.5</x:v>
      </x:c>
      <x:c r="H59" s="10" t="n">
        <x:f>G59-F59</x:f>
        <x:v>768.14</x:v>
      </x:c>
      <x:c r="I59" s="17" t="n">
        <x:f>IF(D59=0,"n.a.",H59/D59)</x:f>
        <x:v>0.44222222222222224</x:v>
      </x:c>
      <x:c r="J59" s="19" t="n">
        <x:f>Inputs!D59</x:f>
        <x:v>193</x:v>
      </x:c>
      <x:c r="K59" s="2"/>
      <x:c r="L59" s="2"/>
      <x:c r="M59" s="2"/>
      <x:c r="N59" s="2"/>
      <x:c r="O59" s="2"/>
      <x:c r="P59" s="2"/>
    </x:row>
    <x:row r="60" ht="22" customHeight="1">
      <x:c r="A60" s="18" t="n">
        <x:f>Inputs!A60</x:f>
        <x:v>45778</x:v>
      </x:c>
      <x:c r="B60" s="19" t="str">
        <x:f>Inputs!B60</x:f>
        <x:v>Delivery</x:v>
      </x:c>
      <x:c r="C60" s="19" t="str">
        <x:f>Inputs!C60</x:f>
        <x:v>Drinks</x:v>
      </x:c>
      <x:c r="D60" s="20" t="n">
        <x:f>ROUND(Inputs!D60*Inputs!E60,2)</x:f>
        <x:v>1278</x:v>
      </x:c>
      <x:c r="E60" s="20" t="n">
        <x:f>ROUND(Inputs!D60*Inputs!F60,2)</x:f>
        <x:v>319.5</x:v>
      </x:c>
      <x:c r="F60" s="10" t="n">
        <x:f>ROUND(D60*ROUND(Inputs!G60*10000,0)/100,0)/100</x:f>
        <x:v>357.84</x:v>
      </x:c>
      <x:c r="G60" s="10" t="n">
        <x:f>D60-E60</x:f>
        <x:v>958.5</x:v>
      </x:c>
      <x:c r="H60" s="10" t="n">
        <x:f>G60-F60</x:f>
        <x:v>600.6600000000001</x:v>
      </x:c>
      <x:c r="I60" s="17" t="n">
        <x:f>IF(D60=0,"n.a.",H60/D60)</x:f>
        <x:v>0.4700000000000001</x:v>
      </x:c>
      <x:c r="J60" s="19" t="n">
        <x:f>Inputs!D60</x:f>
        <x:v>213</x:v>
      </x:c>
      <x:c r="K60" s="2"/>
      <x:c r="L60" s="2"/>
      <x:c r="M60" s="2"/>
      <x:c r="N60" s="2"/>
      <x:c r="O60" s="2"/>
      <x:c r="P60" s="2"/>
    </x:row>
    <x:row r="61" ht="22" customHeight="1">
      <x:c r="A61" s="18" t="n">
        <x:f>Inputs!A61</x:f>
        <x:v>45778</x:v>
      </x:c>
      <x:c r="B61" s="19" t="str">
        <x:f>Inputs!B61</x:f>
        <x:v>Delivery</x:v>
      </x:c>
      <x:c r="C61" s="19" t="str">
        <x:f>Inputs!C61</x:f>
        <x:v>Desserts</x:v>
      </x:c>
      <x:c r="D61" s="20" t="n">
        <x:f>ROUND(Inputs!D61*Inputs!E61,2)</x:f>
        <x:v>1166</x:v>
      </x:c>
      <x:c r="E61" s="20" t="n">
        <x:f>ROUND(Inputs!D61*Inputs!F61,2)</x:f>
        <x:v>371</x:v>
      </x:c>
      <x:c r="F61" s="10" t="n">
        <x:f>ROUND(D61*ROUND(Inputs!G61*10000,0)/100,0)/100</x:f>
        <x:v>326.48</x:v>
      </x:c>
      <x:c r="G61" s="10" t="n">
        <x:f>D61-E61</x:f>
        <x:v>795</x:v>
      </x:c>
      <x:c r="H61" s="10" t="n">
        <x:f>G61-F61</x:f>
        <x:v>468.52</x:v>
      </x:c>
      <x:c r="I61" s="17" t="n">
        <x:f>IF(D61=0,"n.a.",H61/D61)</x:f>
        <x:v>0.4018181818181818</x:v>
      </x:c>
      <x:c r="J61" s="19" t="n">
        <x:f>Inputs!D61</x:f>
        <x:v>106</x:v>
      </x:c>
      <x:c r="K61" s="2"/>
      <x:c r="L61" s="2"/>
      <x:c r="M61" s="2"/>
      <x:c r="N61" s="2"/>
      <x:c r="O61" s="2"/>
      <x:c r="P61" s="2"/>
    </x:row>
    <x:row r="62" ht="22" customHeight="1">
      <x:c r="A62" s="18" t="n">
        <x:f>Inputs!A62</x:f>
        <x:v>45809</x:v>
      </x:c>
      <x:c r="B62" s="19" t="str">
        <x:f>Inputs!B62</x:f>
        <x:v>Dine-in</x:v>
      </x:c>
      <x:c r="C62" s="19" t="str">
        <x:f>Inputs!C62</x:f>
        <x:v>Mains</x:v>
      </x:c>
      <x:c r="D62" s="20" t="n">
        <x:f>ROUND(Inputs!D62*Inputs!E62,2)</x:f>
        <x:v>8832</x:v>
      </x:c>
      <x:c r="E62" s="20" t="n">
        <x:f>ROUND(Inputs!D62*Inputs!F62,2)</x:f>
        <x:v>2944</x:v>
      </x:c>
      <x:c r="F62" s="10" t="n">
        <x:f>ROUND(D62*ROUND(Inputs!G62*10000,0)/100,0)/100</x:f>
        <x:v>132.48</x:v>
      </x:c>
      <x:c r="G62" s="10" t="n">
        <x:f>D62-E62</x:f>
        <x:v>5888</x:v>
      </x:c>
      <x:c r="H62" s="10" t="n">
        <x:f>G62-F62</x:f>
        <x:v>5755.52</x:v>
      </x:c>
      <x:c r="I62" s="17" t="n">
        <x:f>IF(D62=0,"n.a.",H62/D62)</x:f>
        <x:v>0.6516666666666667</x:v>
      </x:c>
      <x:c r="J62" s="19" t="n">
        <x:f>Inputs!D62</x:f>
        <x:v>368</x:v>
      </x:c>
      <x:c r="K62" s="2"/>
      <x:c r="L62" s="2"/>
      <x:c r="M62" s="2"/>
      <x:c r="N62" s="2"/>
      <x:c r="O62" s="2"/>
      <x:c r="P62" s="2"/>
    </x:row>
    <x:row r="63" ht="22" customHeight="1">
      <x:c r="A63" s="18" t="n">
        <x:f>Inputs!A63</x:f>
        <x:v>45809</x:v>
      </x:c>
      <x:c r="B63" s="19" t="str">
        <x:f>Inputs!B63</x:f>
        <x:v>Dine-in</x:v>
      </x:c>
      <x:c r="C63" s="19" t="str">
        <x:f>Inputs!C63</x:f>
        <x:v>Sides</x:v>
      </x:c>
      <x:c r="D63" s="20" t="n">
        <x:f>ROUND(Inputs!D63*Inputs!E63,2)</x:f>
        <x:v>1953</x:v>
      </x:c>
      <x:c r="E63" s="20" t="n">
        <x:f>ROUND(Inputs!D63*Inputs!F63,2)</x:f>
        <x:v>542.5</x:v>
      </x:c>
      <x:c r="F63" s="10" t="n">
        <x:f>ROUND(D63*ROUND(Inputs!G63*10000,0)/100,0)/100</x:f>
        <x:v>29.3</x:v>
      </x:c>
      <x:c r="G63" s="10" t="n">
        <x:f>D63-E63</x:f>
        <x:v>1410.5</x:v>
      </x:c>
      <x:c r="H63" s="10" t="n">
        <x:f>G63-F63</x:f>
        <x:v>1381.2</x:v>
      </x:c>
      <x:c r="I63" s="17" t="n">
        <x:f>IF(D63=0,"n.a.",H63/D63)</x:f>
        <x:v>0.7072196620583717</x:v>
      </x:c>
      <x:c r="J63" s="19" t="n">
        <x:f>Inputs!D63</x:f>
        <x:v>217</x:v>
      </x:c>
      <x:c r="K63" s="2"/>
      <x:c r="L63" s="2"/>
      <x:c r="M63" s="2"/>
      <x:c r="N63" s="2"/>
      <x:c r="O63" s="2"/>
      <x:c r="P63" s="2"/>
    </x:row>
    <x:row r="64" ht="22" customHeight="1">
      <x:c r="A64" s="18" t="n">
        <x:f>Inputs!A64</x:f>
        <x:v>45809</x:v>
      </x:c>
      <x:c r="B64" s="19" t="str">
        <x:f>Inputs!B64</x:f>
        <x:v>Dine-in</x:v>
      </x:c>
      <x:c r="C64" s="19" t="str">
        <x:f>Inputs!C64</x:f>
        <x:v>Drinks</x:v>
      </x:c>
      <x:c r="D64" s="20" t="n">
        <x:f>ROUND(Inputs!D64*Inputs!E64,2)</x:f>
        <x:v>1536</x:v>
      </x:c>
      <x:c r="E64" s="20" t="n">
        <x:f>ROUND(Inputs!D64*Inputs!F64,2)</x:f>
        <x:v>384</x:v>
      </x:c>
      <x:c r="F64" s="10" t="n">
        <x:f>ROUND(D64*ROUND(Inputs!G64*10000,0)/100,0)/100</x:f>
        <x:v>23.04</x:v>
      </x:c>
      <x:c r="G64" s="10" t="n">
        <x:f>D64-E64</x:f>
        <x:v>1152</x:v>
      </x:c>
      <x:c r="H64" s="10" t="n">
        <x:f>G64-F64</x:f>
        <x:v>1128.96</x:v>
      </x:c>
      <x:c r="I64" s="17" t="n">
        <x:f>IF(D64=0,"n.a.",H64/D64)</x:f>
        <x:v>0.735</x:v>
      </x:c>
      <x:c r="J64" s="19" t="n">
        <x:f>Inputs!D64</x:f>
        <x:v>256</x:v>
      </x:c>
      <x:c r="K64" s="2"/>
      <x:c r="L64" s="2"/>
      <x:c r="M64" s="2"/>
      <x:c r="N64" s="2"/>
      <x:c r="O64" s="2"/>
      <x:c r="P64" s="2"/>
    </x:row>
    <x:row r="65" ht="22" customHeight="1">
      <x:c r="A65" s="18" t="n">
        <x:f>Inputs!A65</x:f>
        <x:v>45809</x:v>
      </x:c>
      <x:c r="B65" s="19" t="str">
        <x:f>Inputs!B65</x:f>
        <x:v>Dine-in</x:v>
      </x:c>
      <x:c r="C65" s="19" t="str">
        <x:f>Inputs!C65</x:f>
        <x:v>Desserts</x:v>
      </x:c>
      <x:c r="D65" s="20" t="n">
        <x:f>ROUND(Inputs!D65*Inputs!E65,2)</x:f>
        <x:v>1386</x:v>
      </x:c>
      <x:c r="E65" s="20" t="n">
        <x:f>ROUND(Inputs!D65*Inputs!F65,2)</x:f>
        <x:v>441</x:v>
      </x:c>
      <x:c r="F65" s="10" t="n">
        <x:f>ROUND(D65*ROUND(Inputs!G65*10000,0)/100,0)/100</x:f>
        <x:v>20.79</x:v>
      </x:c>
      <x:c r="G65" s="10" t="n">
        <x:f>D65-E65</x:f>
        <x:v>945</x:v>
      </x:c>
      <x:c r="H65" s="10" t="n">
        <x:f>G65-F65</x:f>
        <x:v>924.21</x:v>
      </x:c>
      <x:c r="I65" s="17" t="n">
        <x:f>IF(D65=0,"n.a.",H65/D65)</x:f>
        <x:v>0.6668181818181819</x:v>
      </x:c>
      <x:c r="J65" s="19" t="n">
        <x:f>Inputs!D65</x:f>
        <x:v>126</x:v>
      </x:c>
      <x:c r="K65" s="2"/>
      <x:c r="L65" s="2"/>
      <x:c r="M65" s="2"/>
      <x:c r="N65" s="2"/>
      <x:c r="O65" s="2"/>
      <x:c r="P65" s="2"/>
    </x:row>
    <x:row r="66" ht="22" customHeight="1">
      <x:c r="A66" s="18" t="n">
        <x:f>Inputs!A66</x:f>
        <x:v>45809</x:v>
      </x:c>
      <x:c r="B66" s="19" t="str">
        <x:f>Inputs!B66</x:f>
        <x:v>Pickup</x:v>
      </x:c>
      <x:c r="C66" s="19" t="str">
        <x:f>Inputs!C66</x:f>
        <x:v>Mains</x:v>
      </x:c>
      <x:c r="D66" s="20" t="n">
        <x:f>ROUND(Inputs!D66*Inputs!E66,2)</x:f>
        <x:v>5640</x:v>
      </x:c>
      <x:c r="E66" s="20" t="n">
        <x:f>ROUND(Inputs!D66*Inputs!F66,2)</x:f>
        <x:v>1880</x:v>
      </x:c>
      <x:c r="F66" s="10" t="n">
        <x:f>ROUND(D66*ROUND(Inputs!G66*10000,0)/100,0)/100</x:f>
        <x:v>84.6</x:v>
      </x:c>
      <x:c r="G66" s="10" t="n">
        <x:f>D66-E66</x:f>
        <x:v>3760</x:v>
      </x:c>
      <x:c r="H66" s="10" t="n">
        <x:f>G66-F66</x:f>
        <x:v>3675.4</x:v>
      </x:c>
      <x:c r="I66" s="17" t="n">
        <x:f>IF(D66=0,"n.a.",H66/D66)</x:f>
        <x:v>0.6516666666666667</x:v>
      </x:c>
      <x:c r="J66" s="19" t="n">
        <x:f>Inputs!D66</x:f>
        <x:v>235</x:v>
      </x:c>
      <x:c r="K66" s="2"/>
      <x:c r="L66" s="2"/>
      <x:c r="M66" s="2"/>
      <x:c r="N66" s="2"/>
      <x:c r="O66" s="2"/>
      <x:c r="P66" s="2"/>
    </x:row>
    <x:row r="67" ht="22" customHeight="1">
      <x:c r="A67" s="18" t="n">
        <x:f>Inputs!A67</x:f>
        <x:v>45809</x:v>
      </x:c>
      <x:c r="B67" s="19" t="str">
        <x:f>Inputs!B67</x:f>
        <x:v>Pickup</x:v>
      </x:c>
      <x:c r="C67" s="19" t="str">
        <x:f>Inputs!C67</x:f>
        <x:v>Sides</x:v>
      </x:c>
      <x:c r="D67" s="20" t="n">
        <x:f>ROUND(Inputs!D67*Inputs!E67,2)</x:f>
        <x:v>1296</x:v>
      </x:c>
      <x:c r="E67" s="20" t="n">
        <x:f>ROUND(Inputs!D67*Inputs!F67,2)</x:f>
        <x:v>360</x:v>
      </x:c>
      <x:c r="F67" s="10" t="n">
        <x:f>ROUND(D67*ROUND(Inputs!G67*10000,0)/100,0)/100</x:f>
        <x:v>19.44</x:v>
      </x:c>
      <x:c r="G67" s="10" t="n">
        <x:f>D67-E67</x:f>
        <x:v>936</x:v>
      </x:c>
      <x:c r="H67" s="10" t="n">
        <x:f>G67-F67</x:f>
        <x:v>916.56</x:v>
      </x:c>
      <x:c r="I67" s="17" t="n">
        <x:f>IF(D67=0,"n.a.",H67/D67)</x:f>
        <x:v>0.7072222222222222</x:v>
      </x:c>
      <x:c r="J67" s="19" t="n">
        <x:f>Inputs!D67</x:f>
        <x:v>144</x:v>
      </x:c>
      <x:c r="K67" s="2"/>
      <x:c r="L67" s="2"/>
      <x:c r="M67" s="2"/>
      <x:c r="N67" s="2"/>
      <x:c r="O67" s="2"/>
      <x:c r="P67" s="2"/>
    </x:row>
    <x:row r="68" ht="22" customHeight="1">
      <x:c r="A68" s="18" t="n">
        <x:f>Inputs!A68</x:f>
        <x:v>45809</x:v>
      </x:c>
      <x:c r="B68" s="19" t="str">
        <x:f>Inputs!B68</x:f>
        <x:v>Pickup</x:v>
      </x:c>
      <x:c r="C68" s="19" t="str">
        <x:f>Inputs!C68</x:f>
        <x:v>Drinks</x:v>
      </x:c>
      <x:c r="D68" s="20" t="n">
        <x:f>ROUND(Inputs!D68*Inputs!E68,2)</x:f>
        <x:v>954</x:v>
      </x:c>
      <x:c r="E68" s="20" t="n">
        <x:f>ROUND(Inputs!D68*Inputs!F68,2)</x:f>
        <x:v>238.5</x:v>
      </x:c>
      <x:c r="F68" s="10" t="n">
        <x:f>ROUND(D68*ROUND(Inputs!G68*10000,0)/100,0)/100</x:f>
        <x:v>14.31</x:v>
      </x:c>
      <x:c r="G68" s="10" t="n">
        <x:f>D68-E68</x:f>
        <x:v>715.5</x:v>
      </x:c>
      <x:c r="H68" s="10" t="n">
        <x:f>G68-F68</x:f>
        <x:v>701.19</x:v>
      </x:c>
      <x:c r="I68" s="17" t="n">
        <x:f>IF(D68=0,"n.a.",H68/D68)</x:f>
        <x:v>0.7350000000000001</x:v>
      </x:c>
      <x:c r="J68" s="19" t="n">
        <x:f>Inputs!D68</x:f>
        <x:v>159</x:v>
      </x:c>
      <x:c r="K68" s="2"/>
      <x:c r="L68" s="2"/>
      <x:c r="M68" s="2"/>
      <x:c r="N68" s="2"/>
      <x:c r="O68" s="2"/>
      <x:c r="P68" s="2"/>
    </x:row>
    <x:row r="69" ht="22" customHeight="1">
      <x:c r="A69" s="18" t="n">
        <x:f>Inputs!A69</x:f>
        <x:v>45809</x:v>
      </x:c>
      <x:c r="B69" s="19" t="str">
        <x:f>Inputs!B69</x:f>
        <x:v>Pickup</x:v>
      </x:c>
      <x:c r="C69" s="19" t="str">
        <x:f>Inputs!C69</x:f>
        <x:v>Desserts</x:v>
      </x:c>
      <x:c r="D69" s="20" t="n">
        <x:f>ROUND(Inputs!D69*Inputs!E69,2)</x:f>
        <x:v>825</x:v>
      </x:c>
      <x:c r="E69" s="20" t="n">
        <x:f>ROUND(Inputs!D69*Inputs!F69,2)</x:f>
        <x:v>262.5</x:v>
      </x:c>
      <x:c r="F69" s="10" t="n">
        <x:f>ROUND(D69*ROUND(Inputs!G69*10000,0)/100,0)/100</x:f>
        <x:v>12.38</x:v>
      </x:c>
      <x:c r="G69" s="10" t="n">
        <x:f>D69-E69</x:f>
        <x:v>562.5</x:v>
      </x:c>
      <x:c r="H69" s="10" t="n">
        <x:f>G69-F69</x:f>
        <x:v>550.12</x:v>
      </x:c>
      <x:c r="I69" s="17" t="n">
        <x:f>IF(D69=0,"n.a.",H69/D69)</x:f>
        <x:v>0.6668121212121212</x:v>
      </x:c>
      <x:c r="J69" s="19" t="n">
        <x:f>Inputs!D69</x:f>
        <x:v>75</x:v>
      </x:c>
      <x:c r="K69" s="2"/>
      <x:c r="L69" s="2"/>
      <x:c r="M69" s="2"/>
      <x:c r="N69" s="2"/>
      <x:c r="O69" s="2"/>
      <x:c r="P69" s="2"/>
    </x:row>
    <x:row r="70" ht="22" customHeight="1">
      <x:c r="A70" s="18" t="n">
        <x:f>Inputs!A70</x:f>
        <x:v>45809</x:v>
      </x:c>
      <x:c r="B70" s="19" t="str">
        <x:f>Inputs!B70</x:f>
        <x:v>Delivery</x:v>
      </x:c>
      <x:c r="C70" s="19" t="str">
        <x:f>Inputs!C70</x:f>
        <x:v>Mains</x:v>
      </x:c>
      <x:c r="D70" s="20" t="n">
        <x:f>ROUND(Inputs!D70*Inputs!E70,2)</x:f>
        <x:v>6432</x:v>
      </x:c>
      <x:c r="E70" s="20" t="n">
        <x:f>ROUND(Inputs!D70*Inputs!F70,2)</x:f>
        <x:v>2144</x:v>
      </x:c>
      <x:c r="F70" s="10" t="n">
        <x:f>ROUND(D70*ROUND(Inputs!G70*10000,0)/100,0)/100</x:f>
        <x:v>1800.96</x:v>
      </x:c>
      <x:c r="G70" s="10" t="n">
        <x:f>D70-E70</x:f>
        <x:v>4288</x:v>
      </x:c>
      <x:c r="H70" s="10" t="n">
        <x:f>G70-F70</x:f>
        <x:v>2487.04</x:v>
      </x:c>
      <x:c r="I70" s="17" t="n">
        <x:f>IF(D70=0,"n.a.",H70/D70)</x:f>
        <x:v>0.38666666666666666</x:v>
      </x:c>
      <x:c r="J70" s="19" t="n">
        <x:f>Inputs!D70</x:f>
        <x:v>268</x:v>
      </x:c>
      <x:c r="K70" s="2"/>
      <x:c r="L70" s="2"/>
      <x:c r="M70" s="2"/>
      <x:c r="N70" s="2"/>
      <x:c r="O70" s="2"/>
      <x:c r="P70" s="2"/>
    </x:row>
    <x:row r="71" ht="22" customHeight="1">
      <x:c r="A71" s="18" t="n">
        <x:f>Inputs!A71</x:f>
        <x:v>45809</x:v>
      </x:c>
      <x:c r="B71" s="19" t="str">
        <x:f>Inputs!B71</x:f>
        <x:v>Delivery</x:v>
      </x:c>
      <x:c r="C71" s="19" t="str">
        <x:f>Inputs!C71</x:f>
        <x:v>Sides</x:v>
      </x:c>
      <x:c r="D71" s="20" t="n">
        <x:f>ROUND(Inputs!D71*Inputs!E71,2)</x:f>
        <x:v>1485</x:v>
      </x:c>
      <x:c r="E71" s="20" t="n">
        <x:f>ROUND(Inputs!D71*Inputs!F71,2)</x:f>
        <x:v>412.5</x:v>
      </x:c>
      <x:c r="F71" s="10" t="n">
        <x:f>ROUND(D71*ROUND(Inputs!G71*10000,0)/100,0)/100</x:f>
        <x:v>415.8</x:v>
      </x:c>
      <x:c r="G71" s="10" t="n">
        <x:f>D71-E71</x:f>
        <x:v>1072.5</x:v>
      </x:c>
      <x:c r="H71" s="10" t="n">
        <x:f>G71-F71</x:f>
        <x:v>656.7</x:v>
      </x:c>
      <x:c r="I71" s="17" t="n">
        <x:f>IF(D71=0,"n.a.",H71/D71)</x:f>
        <x:v>0.44222222222222224</x:v>
      </x:c>
      <x:c r="J71" s="19" t="n">
        <x:f>Inputs!D71</x:f>
        <x:v>165</x:v>
      </x:c>
      <x:c r="K71" s="2"/>
      <x:c r="L71" s="2"/>
      <x:c r="M71" s="2"/>
      <x:c r="N71" s="2"/>
      <x:c r="O71" s="2"/>
      <x:c r="P71" s="2"/>
    </x:row>
    <x:row r="72" ht="22" customHeight="1">
      <x:c r="A72" s="18" t="n">
        <x:f>Inputs!A72</x:f>
        <x:v>45809</x:v>
      </x:c>
      <x:c r="B72" s="19" t="str">
        <x:f>Inputs!B72</x:f>
        <x:v>Delivery</x:v>
      </x:c>
      <x:c r="C72" s="19" t="str">
        <x:f>Inputs!C72</x:f>
        <x:v>Drinks</x:v>
      </x:c>
      <x:c r="D72" s="20" t="n">
        <x:f>ROUND(Inputs!D72*Inputs!E72,2)</x:f>
        <x:v>1170</x:v>
      </x:c>
      <x:c r="E72" s="20" t="n">
        <x:f>ROUND(Inputs!D72*Inputs!F72,2)</x:f>
        <x:v>292.5</x:v>
      </x:c>
      <x:c r="F72" s="10" t="n">
        <x:f>ROUND(D72*ROUND(Inputs!G72*10000,0)/100,0)/100</x:f>
        <x:v>327.6</x:v>
      </x:c>
      <x:c r="G72" s="10" t="n">
        <x:f>D72-E72</x:f>
        <x:v>877.5</x:v>
      </x:c>
      <x:c r="H72" s="10" t="n">
        <x:f>G72-F72</x:f>
        <x:v>549.9</x:v>
      </x:c>
      <x:c r="I72" s="17" t="n">
        <x:f>IF(D72=0,"n.a.",H72/D72)</x:f>
        <x:v>0.47</x:v>
      </x:c>
      <x:c r="J72" s="19" t="n">
        <x:f>Inputs!D72</x:f>
        <x:v>195</x:v>
      </x:c>
      <x:c r="K72" s="2"/>
      <x:c r="L72" s="2"/>
      <x:c r="M72" s="2"/>
      <x:c r="N72" s="2"/>
      <x:c r="O72" s="2"/>
      <x:c r="P72" s="2"/>
    </x:row>
    <x:row r="73" ht="22" customHeight="1">
      <x:c r="A73" s="18" t="n">
        <x:f>Inputs!A73</x:f>
        <x:v>45809</x:v>
      </x:c>
      <x:c r="B73" s="19" t="str">
        <x:f>Inputs!B73</x:f>
        <x:v>Delivery</x:v>
      </x:c>
      <x:c r="C73" s="19" t="str">
        <x:f>Inputs!C73</x:f>
        <x:v>Desserts</x:v>
      </x:c>
      <x:c r="D73" s="20" t="n">
        <x:f>ROUND(Inputs!D73*Inputs!E73,2)</x:f>
        <x:v>1155</x:v>
      </x:c>
      <x:c r="E73" s="20" t="n">
        <x:f>ROUND(Inputs!D73*Inputs!F73,2)</x:f>
        <x:v>367.5</x:v>
      </x:c>
      <x:c r="F73" s="10" t="n">
        <x:f>ROUND(D73*ROUND(Inputs!G73*10000,0)/100,0)/100</x:f>
        <x:v>323.4</x:v>
      </x:c>
      <x:c r="G73" s="10" t="n">
        <x:f>D73-E73</x:f>
        <x:v>787.5</x:v>
      </x:c>
      <x:c r="H73" s="10" t="n">
        <x:f>G73-F73</x:f>
        <x:v>464.1</x:v>
      </x:c>
      <x:c r="I73" s="17" t="n">
        <x:f>IF(D73=0,"n.a.",H73/D73)</x:f>
        <x:v>0.40181818181818185</x:v>
      </x:c>
      <x:c r="J73" s="19" t="n">
        <x:f>Inputs!D73</x:f>
        <x:v>105</x:v>
      </x:c>
      <x:c r="K73" s="2"/>
      <x:c r="L73" s="2"/>
      <x:c r="M73" s="2"/>
      <x:c r="N73" s="2"/>
      <x:c r="O73" s="2"/>
      <x:c r="P73" s="2"/>
    </x:row>
    <x:row r="74" ht="22" customHeight="1">
      <x:c r="A74" s="18" t="n">
        <x:f>Inputs!A74</x:f>
        <x:v>45839</x:v>
      </x:c>
      <x:c r="B74" s="19" t="str">
        <x:f>Inputs!B74</x:f>
        <x:v>Dine-in</x:v>
      </x:c>
      <x:c r="C74" s="19" t="str">
        <x:f>Inputs!C74</x:f>
        <x:v>Mains</x:v>
      </x:c>
      <x:c r="D74" s="20" t="n">
        <x:f>ROUND(Inputs!D74*Inputs!E74,2)</x:f>
        <x:v>8496</x:v>
      </x:c>
      <x:c r="E74" s="20" t="n">
        <x:f>ROUND(Inputs!D74*Inputs!F74,2)</x:f>
        <x:v>2832</x:v>
      </x:c>
      <x:c r="F74" s="10" t="n">
        <x:f>ROUND(D74*ROUND(Inputs!G74*10000,0)/100,0)/100</x:f>
        <x:v>127.44</x:v>
      </x:c>
      <x:c r="G74" s="10" t="n">
        <x:f>D74-E74</x:f>
        <x:v>5664</x:v>
      </x:c>
      <x:c r="H74" s="10" t="n">
        <x:f>G74-F74</x:f>
        <x:v>5536.56</x:v>
      </x:c>
      <x:c r="I74" s="17" t="n">
        <x:f>IF(D74=0,"n.a.",H74/D74)</x:f>
        <x:v>0.6516666666666667</x:v>
      </x:c>
      <x:c r="J74" s="19" t="n">
        <x:f>Inputs!D74</x:f>
        <x:v>354</x:v>
      </x:c>
      <x:c r="K74" s="2"/>
      <x:c r="L74" s="2"/>
      <x:c r="M74" s="2"/>
      <x:c r="N74" s="2"/>
      <x:c r="O74" s="2"/>
      <x:c r="P74" s="2"/>
    </x:row>
    <x:row r="75" ht="22" customHeight="1">
      <x:c r="A75" s="18" t="n">
        <x:f>Inputs!A75</x:f>
        <x:v>45839</x:v>
      </x:c>
      <x:c r="B75" s="19" t="str">
        <x:f>Inputs!B75</x:f>
        <x:v>Dine-in</x:v>
      </x:c>
      <x:c r="C75" s="19" t="str">
        <x:f>Inputs!C75</x:f>
        <x:v>Sides</x:v>
      </x:c>
      <x:c r="D75" s="20" t="n">
        <x:f>ROUND(Inputs!D75*Inputs!E75,2)</x:f>
        <x:v>1827</x:v>
      </x:c>
      <x:c r="E75" s="20" t="n">
        <x:f>ROUND(Inputs!D75*Inputs!F75,2)</x:f>
        <x:v>507.5</x:v>
      </x:c>
      <x:c r="F75" s="10" t="n">
        <x:f>ROUND(D75*ROUND(Inputs!G75*10000,0)/100,0)/100</x:f>
        <x:v>27.41</x:v>
      </x:c>
      <x:c r="G75" s="10" t="n">
        <x:f>D75-E75</x:f>
        <x:v>1319.5</x:v>
      </x:c>
      <x:c r="H75" s="10" t="n">
        <x:f>G75-F75</x:f>
        <x:v>1292.09</x:v>
      </x:c>
      <x:c r="I75" s="17" t="n">
        <x:f>IF(D75=0,"n.a.",H75/D75)</x:f>
        <x:v>0.7072194854953475</x:v>
      </x:c>
      <x:c r="J75" s="19" t="n">
        <x:f>Inputs!D75</x:f>
        <x:v>203</x:v>
      </x:c>
      <x:c r="K75" s="2"/>
      <x:c r="L75" s="2"/>
      <x:c r="M75" s="2"/>
      <x:c r="N75" s="2"/>
      <x:c r="O75" s="2"/>
      <x:c r="P75" s="2"/>
    </x:row>
    <x:row r="76" ht="22" customHeight="1">
      <x:c r="A76" s="18" t="n">
        <x:f>Inputs!A76</x:f>
        <x:v>45839</x:v>
      </x:c>
      <x:c r="B76" s="19" t="str">
        <x:f>Inputs!B76</x:f>
        <x:v>Dine-in</x:v>
      </x:c>
      <x:c r="C76" s="19" t="str">
        <x:f>Inputs!C76</x:f>
        <x:v>Drinks</x:v>
      </x:c>
      <x:c r="D76" s="20" t="n">
        <x:f>ROUND(Inputs!D76*Inputs!E76,2)</x:f>
        <x:v>1518</x:v>
      </x:c>
      <x:c r="E76" s="20" t="n">
        <x:f>ROUND(Inputs!D76*Inputs!F76,2)</x:f>
        <x:v>379.5</x:v>
      </x:c>
      <x:c r="F76" s="10" t="n">
        <x:f>ROUND(D76*ROUND(Inputs!G76*10000,0)/100,0)/100</x:f>
        <x:v>22.77</x:v>
      </x:c>
      <x:c r="G76" s="10" t="n">
        <x:f>D76-E76</x:f>
        <x:v>1138.5</x:v>
      </x:c>
      <x:c r="H76" s="10" t="n">
        <x:f>G76-F76</x:f>
        <x:v>1115.73</x:v>
      </x:c>
      <x:c r="I76" s="17" t="n">
        <x:f>IF(D76=0,"n.a.",H76/D76)</x:f>
        <x:v>0.735</x:v>
      </x:c>
      <x:c r="J76" s="19" t="n">
        <x:f>Inputs!D76</x:f>
        <x:v>253</x:v>
      </x:c>
      <x:c r="K76" s="2"/>
      <x:c r="L76" s="2"/>
      <x:c r="M76" s="2"/>
      <x:c r="N76" s="2"/>
      <x:c r="O76" s="2"/>
      <x:c r="P76" s="2"/>
    </x:row>
    <x:row r="77" ht="22" customHeight="1">
      <x:c r="A77" s="18" t="n">
        <x:f>Inputs!A77</x:f>
        <x:v>45839</x:v>
      </x:c>
      <x:c r="B77" s="19" t="str">
        <x:f>Inputs!B77</x:f>
        <x:v>Dine-in</x:v>
      </x:c>
      <x:c r="C77" s="19" t="str">
        <x:f>Inputs!C77</x:f>
        <x:v>Desserts</x:v>
      </x:c>
      <x:c r="D77" s="20" t="n">
        <x:f>ROUND(Inputs!D77*Inputs!E77,2)</x:f>
        <x:v>1298</x:v>
      </x:c>
      <x:c r="E77" s="20" t="n">
        <x:f>ROUND(Inputs!D77*Inputs!F77,2)</x:f>
        <x:v>413</x:v>
      </x:c>
      <x:c r="F77" s="10" t="n">
        <x:f>ROUND(D77*ROUND(Inputs!G77*10000,0)/100,0)/100</x:f>
        <x:v>19.47</x:v>
      </x:c>
      <x:c r="G77" s="10" t="n">
        <x:f>D77-E77</x:f>
        <x:v>885</x:v>
      </x:c>
      <x:c r="H77" s="10" t="n">
        <x:f>G77-F77</x:f>
        <x:v>865.53</x:v>
      </x:c>
      <x:c r="I77" s="17" t="n">
        <x:f>IF(D77=0,"n.a.",H77/D77)</x:f>
        <x:v>0.6668181818181818</x:v>
      </x:c>
      <x:c r="J77" s="19" t="n">
        <x:f>Inputs!D77</x:f>
        <x:v>118</x:v>
      </x:c>
      <x:c r="K77" s="2"/>
      <x:c r="L77" s="2"/>
      <x:c r="M77" s="2"/>
      <x:c r="N77" s="2"/>
      <x:c r="O77" s="2"/>
      <x:c r="P77" s="2"/>
    </x:row>
    <x:row r="78" ht="22" customHeight="1">
      <x:c r="A78" s="18" t="n">
        <x:f>Inputs!A78</x:f>
        <x:v>45839</x:v>
      </x:c>
      <x:c r="B78" s="19" t="str">
        <x:f>Inputs!B78</x:f>
        <x:v>Pickup</x:v>
      </x:c>
      <x:c r="C78" s="19" t="str">
        <x:f>Inputs!C78</x:f>
        <x:v>Mains</x:v>
      </x:c>
      <x:c r="D78" s="20" t="n">
        <x:f>ROUND(Inputs!D78*Inputs!E78,2)</x:f>
        <x:v>5544</x:v>
      </x:c>
      <x:c r="E78" s="20" t="n">
        <x:f>ROUND(Inputs!D78*Inputs!F78,2)</x:f>
        <x:v>1848</x:v>
      </x:c>
      <x:c r="F78" s="10" t="n">
        <x:f>ROUND(D78*ROUND(Inputs!G78*10000,0)/100,0)/100</x:f>
        <x:v>83.16</x:v>
      </x:c>
      <x:c r="G78" s="10" t="n">
        <x:f>D78-E78</x:f>
        <x:v>3696</x:v>
      </x:c>
      <x:c r="H78" s="10" t="n">
        <x:f>G78-F78</x:f>
        <x:v>3612.84</x:v>
      </x:c>
      <x:c r="I78" s="17" t="n">
        <x:f>IF(D78=0,"n.a.",H78/D78)</x:f>
        <x:v>0.6516666666666667</x:v>
      </x:c>
      <x:c r="J78" s="19" t="n">
        <x:f>Inputs!D78</x:f>
        <x:v>231</x:v>
      </x:c>
      <x:c r="K78" s="2"/>
      <x:c r="L78" s="2"/>
      <x:c r="M78" s="2"/>
      <x:c r="N78" s="2"/>
      <x:c r="O78" s="2"/>
      <x:c r="P78" s="2"/>
    </x:row>
    <x:row r="79" ht="22" customHeight="1">
      <x:c r="A79" s="18" t="n">
        <x:f>Inputs!A79</x:f>
        <x:v>45839</x:v>
      </x:c>
      <x:c r="B79" s="19" t="str">
        <x:f>Inputs!B79</x:f>
        <x:v>Pickup</x:v>
      </x:c>
      <x:c r="C79" s="19" t="str">
        <x:f>Inputs!C79</x:f>
        <x:v>Sides</x:v>
      </x:c>
      <x:c r="D79" s="20" t="n">
        <x:f>ROUND(Inputs!D79*Inputs!E79,2)</x:f>
        <x:v>1206</x:v>
      </x:c>
      <x:c r="E79" s="20" t="n">
        <x:f>ROUND(Inputs!D79*Inputs!F79,2)</x:f>
        <x:v>335</x:v>
      </x:c>
      <x:c r="F79" s="10" t="n">
        <x:f>ROUND(D79*ROUND(Inputs!G79*10000,0)/100,0)/100</x:f>
        <x:v>18.09</x:v>
      </x:c>
      <x:c r="G79" s="10" t="n">
        <x:f>D79-E79</x:f>
        <x:v>871</x:v>
      </x:c>
      <x:c r="H79" s="10" t="n">
        <x:f>G79-F79</x:f>
        <x:v>852.91</x:v>
      </x:c>
      <x:c r="I79" s="17" t="n">
        <x:f>IF(D79=0,"n.a.",H79/D79)</x:f>
        <x:v>0.7072222222222222</x:v>
      </x:c>
      <x:c r="J79" s="19" t="n">
        <x:f>Inputs!D79</x:f>
        <x:v>134</x:v>
      </x:c>
      <x:c r="K79" s="2"/>
      <x:c r="L79" s="2"/>
      <x:c r="M79" s="2"/>
      <x:c r="N79" s="2"/>
      <x:c r="O79" s="2"/>
      <x:c r="P79" s="2"/>
    </x:row>
    <x:row r="80" ht="22" customHeight="1">
      <x:c r="A80" s="18" t="n">
        <x:f>Inputs!A80</x:f>
        <x:v>45839</x:v>
      </x:c>
      <x:c r="B80" s="19" t="str">
        <x:f>Inputs!B80</x:f>
        <x:v>Pickup</x:v>
      </x:c>
      <x:c r="C80" s="19" t="str">
        <x:f>Inputs!C80</x:f>
        <x:v>Drinks</x:v>
      </x:c>
      <x:c r="D80" s="20" t="n">
        <x:f>ROUND(Inputs!D80*Inputs!E80,2)</x:f>
        <x:v>936</x:v>
      </x:c>
      <x:c r="E80" s="20" t="n">
        <x:f>ROUND(Inputs!D80*Inputs!F80,2)</x:f>
        <x:v>234</x:v>
      </x:c>
      <x:c r="F80" s="10" t="n">
        <x:f>ROUND(D80*ROUND(Inputs!G80*10000,0)/100,0)/100</x:f>
        <x:v>14.04</x:v>
      </x:c>
      <x:c r="G80" s="10" t="n">
        <x:f>D80-E80</x:f>
        <x:v>702</x:v>
      </x:c>
      <x:c r="H80" s="10" t="n">
        <x:f>G80-F80</x:f>
        <x:v>687.96</x:v>
      </x:c>
      <x:c r="I80" s="17" t="n">
        <x:f>IF(D80=0,"n.a.",H80/D80)</x:f>
        <x:v>0.735</x:v>
      </x:c>
      <x:c r="J80" s="19" t="n">
        <x:f>Inputs!D80</x:f>
        <x:v>156</x:v>
      </x:c>
      <x:c r="K80" s="2"/>
      <x:c r="L80" s="2"/>
      <x:c r="M80" s="2"/>
      <x:c r="N80" s="2"/>
      <x:c r="O80" s="2"/>
      <x:c r="P80" s="2"/>
    </x:row>
    <x:row r="81" ht="22" customHeight="1">
      <x:c r="A81" s="18" t="n">
        <x:f>Inputs!A81</x:f>
        <x:v>45839</x:v>
      </x:c>
      <x:c r="B81" s="19" t="str">
        <x:f>Inputs!B81</x:f>
        <x:v>Pickup</x:v>
      </x:c>
      <x:c r="C81" s="19" t="str">
        <x:f>Inputs!C81</x:f>
        <x:v>Desserts</x:v>
      </x:c>
      <x:c r="D81" s="20" t="n">
        <x:f>ROUND(Inputs!D81*Inputs!E81,2)</x:f>
        <x:v>825</x:v>
      </x:c>
      <x:c r="E81" s="20" t="n">
        <x:f>ROUND(Inputs!D81*Inputs!F81,2)</x:f>
        <x:v>262.5</x:v>
      </x:c>
      <x:c r="F81" s="10" t="n">
        <x:f>ROUND(D81*ROUND(Inputs!G81*10000,0)/100,0)/100</x:f>
        <x:v>12.38</x:v>
      </x:c>
      <x:c r="G81" s="10" t="n">
        <x:f>D81-E81</x:f>
        <x:v>562.5</x:v>
      </x:c>
      <x:c r="H81" s="10" t="n">
        <x:f>G81-F81</x:f>
        <x:v>550.12</x:v>
      </x:c>
      <x:c r="I81" s="17" t="n">
        <x:f>IF(D81=0,"n.a.",H81/D81)</x:f>
        <x:v>0.6668121212121212</x:v>
      </x:c>
      <x:c r="J81" s="19" t="n">
        <x:f>Inputs!D81</x:f>
        <x:v>75</x:v>
      </x:c>
      <x:c r="K81" s="2"/>
      <x:c r="L81" s="2"/>
      <x:c r="M81" s="2"/>
      <x:c r="N81" s="2"/>
      <x:c r="O81" s="2"/>
      <x:c r="P81" s="2"/>
    </x:row>
    <x:row r="82" ht="22" customHeight="1">
      <x:c r="A82" s="18" t="n">
        <x:f>Inputs!A82</x:f>
        <x:v>45839</x:v>
      </x:c>
      <x:c r="B82" s="19" t="str">
        <x:f>Inputs!B82</x:f>
        <x:v>Delivery</x:v>
      </x:c>
      <x:c r="C82" s="19" t="str">
        <x:f>Inputs!C82</x:f>
        <x:v>Mains</x:v>
      </x:c>
      <x:c r="D82" s="20" t="n">
        <x:f>ROUND(Inputs!D82*Inputs!E82,2)</x:f>
        <x:v>6504</x:v>
      </x:c>
      <x:c r="E82" s="20" t="n">
        <x:f>ROUND(Inputs!D82*Inputs!F82,2)</x:f>
        <x:v>2168</x:v>
      </x:c>
      <x:c r="F82" s="10" t="n">
        <x:f>ROUND(D82*ROUND(Inputs!G82*10000,0)/100,0)/100</x:f>
        <x:v>1821.12</x:v>
      </x:c>
      <x:c r="G82" s="10" t="n">
        <x:f>D82-E82</x:f>
        <x:v>4336</x:v>
      </x:c>
      <x:c r="H82" s="10" t="n">
        <x:f>G82-F82</x:f>
        <x:v>2514.88</x:v>
      </x:c>
      <x:c r="I82" s="17" t="n">
        <x:f>IF(D82=0,"n.a.",H82/D82)</x:f>
        <x:v>0.38666666666666666</x:v>
      </x:c>
      <x:c r="J82" s="19" t="n">
        <x:f>Inputs!D82</x:f>
        <x:v>271</x:v>
      </x:c>
      <x:c r="K82" s="2"/>
      <x:c r="L82" s="2"/>
      <x:c r="M82" s="2"/>
      <x:c r="N82" s="2"/>
      <x:c r="O82" s="2"/>
      <x:c r="P82" s="2"/>
    </x:row>
    <x:row r="83" ht="22" customHeight="1">
      <x:c r="A83" s="18" t="n">
        <x:f>Inputs!A83</x:f>
        <x:v>45839</x:v>
      </x:c>
      <x:c r="B83" s="19" t="str">
        <x:f>Inputs!B83</x:f>
        <x:v>Delivery</x:v>
      </x:c>
      <x:c r="C83" s="19" t="str">
        <x:f>Inputs!C83</x:f>
        <x:v>Sides</x:v>
      </x:c>
      <x:c r="D83" s="20" t="n">
        <x:f>ROUND(Inputs!D83*Inputs!E83,2)</x:f>
        <x:v>1449</x:v>
      </x:c>
      <x:c r="E83" s="20" t="n">
        <x:f>ROUND(Inputs!D83*Inputs!F83,2)</x:f>
        <x:v>402.5</x:v>
      </x:c>
      <x:c r="F83" s="10" t="n">
        <x:f>ROUND(D83*ROUND(Inputs!G83*10000,0)/100,0)/100</x:f>
        <x:v>405.72</x:v>
      </x:c>
      <x:c r="G83" s="10" t="n">
        <x:f>D83-E83</x:f>
        <x:v>1046.5</x:v>
      </x:c>
      <x:c r="H83" s="10" t="n">
        <x:f>G83-F83</x:f>
        <x:v>640.78</x:v>
      </x:c>
      <x:c r="I83" s="17" t="n">
        <x:f>IF(D83=0,"n.a.",H83/D83)</x:f>
        <x:v>0.4422222222222222</x:v>
      </x:c>
      <x:c r="J83" s="19" t="n">
        <x:f>Inputs!D83</x:f>
        <x:v>161</x:v>
      </x:c>
      <x:c r="K83" s="2"/>
      <x:c r="L83" s="2"/>
      <x:c r="M83" s="2"/>
      <x:c r="N83" s="2"/>
      <x:c r="O83" s="2"/>
      <x:c r="P83" s="2"/>
    </x:row>
    <x:row r="84" ht="22" customHeight="1">
      <x:c r="A84" s="18" t="n">
        <x:f>Inputs!A84</x:f>
        <x:v>45839</x:v>
      </x:c>
      <x:c r="B84" s="19" t="str">
        <x:f>Inputs!B84</x:f>
        <x:v>Delivery</x:v>
      </x:c>
      <x:c r="C84" s="19" t="str">
        <x:f>Inputs!C84</x:f>
        <x:v>Drinks</x:v>
      </x:c>
      <x:c r="D84" s="20" t="n">
        <x:f>ROUND(Inputs!D84*Inputs!E84,2)</x:f>
        <x:v>1206</x:v>
      </x:c>
      <x:c r="E84" s="20" t="n">
        <x:f>ROUND(Inputs!D84*Inputs!F84,2)</x:f>
        <x:v>301.5</x:v>
      </x:c>
      <x:c r="F84" s="10" t="n">
        <x:f>ROUND(D84*ROUND(Inputs!G84*10000,0)/100,0)/100</x:f>
        <x:v>337.68</x:v>
      </x:c>
      <x:c r="G84" s="10" t="n">
        <x:f>D84-E84</x:f>
        <x:v>904.5</x:v>
      </x:c>
      <x:c r="H84" s="10" t="n">
        <x:f>G84-F84</x:f>
        <x:v>566.8199999999999</x:v>
      </x:c>
      <x:c r="I84" s="17" t="n">
        <x:f>IF(D84=0,"n.a.",H84/D84)</x:f>
        <x:v>0.47</x:v>
      </x:c>
      <x:c r="J84" s="19" t="n">
        <x:f>Inputs!D84</x:f>
        <x:v>201</x:v>
      </x:c>
      <x:c r="K84" s="2"/>
      <x:c r="L84" s="2"/>
      <x:c r="M84" s="2"/>
      <x:c r="N84" s="2"/>
      <x:c r="O84" s="2"/>
      <x:c r="P84" s="2"/>
    </x:row>
    <x:row r="85" ht="22" customHeight="1">
      <x:c r="A85" s="18" t="n">
        <x:f>Inputs!A85</x:f>
        <x:v>45839</x:v>
      </x:c>
      <x:c r="B85" s="19" t="str">
        <x:f>Inputs!B85</x:f>
        <x:v>Delivery</x:v>
      </x:c>
      <x:c r="C85" s="19" t="str">
        <x:f>Inputs!C85</x:f>
        <x:v>Desserts</x:v>
      </x:c>
      <x:c r="D85" s="20" t="n">
        <x:f>ROUND(Inputs!D85*Inputs!E85,2)</x:f>
        <x:v>1111</x:v>
      </x:c>
      <x:c r="E85" s="20" t="n">
        <x:f>ROUND(Inputs!D85*Inputs!F85,2)</x:f>
        <x:v>353.5</x:v>
      </x:c>
      <x:c r="F85" s="10" t="n">
        <x:f>ROUND(D85*ROUND(Inputs!G85*10000,0)/100,0)/100</x:f>
        <x:v>311.08</x:v>
      </x:c>
      <x:c r="G85" s="10" t="n">
        <x:f>D85-E85</x:f>
        <x:v>757.5</x:v>
      </x:c>
      <x:c r="H85" s="10" t="n">
        <x:f>G85-F85</x:f>
        <x:v>446.42</x:v>
      </x:c>
      <x:c r="I85" s="17" t="n">
        <x:f>IF(D85=0,"n.a.",H85/D85)</x:f>
        <x:v>0.40181818181818185</x:v>
      </x:c>
      <x:c r="J85" s="19" t="n">
        <x:f>Inputs!D85</x:f>
        <x:v>101</x:v>
      </x:c>
      <x:c r="K85" s="2"/>
      <x:c r="L85" s="2"/>
      <x:c r="M85" s="2"/>
      <x:c r="N85" s="2"/>
      <x:c r="O85" s="2"/>
      <x:c r="P85" s="2"/>
    </x:row>
    <x:row r="86" ht="22" customHeight="1">
      <x:c r="A86" s="18" t="n">
        <x:f>Inputs!A86</x:f>
        <x:v>45870</x:v>
      </x:c>
      <x:c r="B86" s="19" t="str">
        <x:f>Inputs!B86</x:f>
        <x:v>Dine-in</x:v>
      </x:c>
      <x:c r="C86" s="19" t="str">
        <x:f>Inputs!C86</x:f>
        <x:v>Mains</x:v>
      </x:c>
      <x:c r="D86" s="20" t="n">
        <x:f>ROUND(Inputs!D86*Inputs!E86,2)</x:f>
        <x:v>8448</x:v>
      </x:c>
      <x:c r="E86" s="20" t="n">
        <x:f>ROUND(Inputs!D86*Inputs!F86,2)</x:f>
        <x:v>2816</x:v>
      </x:c>
      <x:c r="F86" s="10" t="n">
        <x:f>ROUND(D86*ROUND(Inputs!G86*10000,0)/100,0)/100</x:f>
        <x:v>126.72</x:v>
      </x:c>
      <x:c r="G86" s="10" t="n">
        <x:f>D86-E86</x:f>
        <x:v>5632</x:v>
      </x:c>
      <x:c r="H86" s="10" t="n">
        <x:f>G86-F86</x:f>
        <x:v>5505.28</x:v>
      </x:c>
      <x:c r="I86" s="17" t="n">
        <x:f>IF(D86=0,"n.a.",H86/D86)</x:f>
        <x:v>0.6516666666666666</x:v>
      </x:c>
      <x:c r="J86" s="19" t="n">
        <x:f>Inputs!D86</x:f>
        <x:v>352</x:v>
      </x:c>
      <x:c r="K86" s="2"/>
      <x:c r="L86" s="2"/>
      <x:c r="M86" s="2"/>
      <x:c r="N86" s="2"/>
      <x:c r="O86" s="2"/>
      <x:c r="P86" s="2"/>
    </x:row>
    <x:row r="87" ht="22" customHeight="1">
      <x:c r="A87" s="18" t="n">
        <x:f>Inputs!A87</x:f>
        <x:v>45870</x:v>
      </x:c>
      <x:c r="B87" s="19" t="str">
        <x:f>Inputs!B87</x:f>
        <x:v>Dine-in</x:v>
      </x:c>
      <x:c r="C87" s="19" t="str">
        <x:f>Inputs!C87</x:f>
        <x:v>Sides</x:v>
      </x:c>
      <x:c r="D87" s="20" t="n">
        <x:f>ROUND(Inputs!D87*Inputs!E87,2)</x:f>
        <x:v>1908</x:v>
      </x:c>
      <x:c r="E87" s="20" t="n">
        <x:f>ROUND(Inputs!D87*Inputs!F87,2)</x:f>
        <x:v>530</x:v>
      </x:c>
      <x:c r="F87" s="10" t="n">
        <x:f>ROUND(D87*ROUND(Inputs!G87*10000,0)/100,0)/100</x:f>
        <x:v>28.62</x:v>
      </x:c>
      <x:c r="G87" s="10" t="n">
        <x:f>D87-E87</x:f>
        <x:v>1378</x:v>
      </x:c>
      <x:c r="H87" s="10" t="n">
        <x:f>G87-F87</x:f>
        <x:v>1349.38</x:v>
      </x:c>
      <x:c r="I87" s="17" t="n">
        <x:f>IF(D87=0,"n.a.",H87/D87)</x:f>
        <x:v>0.7072222222222223</x:v>
      </x:c>
      <x:c r="J87" s="19" t="n">
        <x:f>Inputs!D87</x:f>
        <x:v>212</x:v>
      </x:c>
      <x:c r="K87" s="2"/>
      <x:c r="L87" s="2"/>
      <x:c r="M87" s="2"/>
      <x:c r="N87" s="2"/>
      <x:c r="O87" s="2"/>
      <x:c r="P87" s="2"/>
    </x:row>
    <x:row r="88" ht="22" customHeight="1">
      <x:c r="A88" s="18" t="n">
        <x:f>Inputs!A88</x:f>
        <x:v>45870</x:v>
      </x:c>
      <x:c r="B88" s="19" t="str">
        <x:f>Inputs!B88</x:f>
        <x:v>Dine-in</x:v>
      </x:c>
      <x:c r="C88" s="19" t="str">
        <x:f>Inputs!C88</x:f>
        <x:v>Drinks</x:v>
      </x:c>
      <x:c r="D88" s="20" t="n">
        <x:f>ROUND(Inputs!D88*Inputs!E88,2)</x:f>
        <x:v>1692</x:v>
      </x:c>
      <x:c r="E88" s="20" t="n">
        <x:f>ROUND(Inputs!D88*Inputs!F88,2)</x:f>
        <x:v>423</x:v>
      </x:c>
      <x:c r="F88" s="10" t="n">
        <x:f>ROUND(D88*ROUND(Inputs!G88*10000,0)/100,0)/100</x:f>
        <x:v>25.38</x:v>
      </x:c>
      <x:c r="G88" s="10" t="n">
        <x:f>D88-E88</x:f>
        <x:v>1269</x:v>
      </x:c>
      <x:c r="H88" s="10" t="n">
        <x:f>G88-F88</x:f>
        <x:v>1243.62</x:v>
      </x:c>
      <x:c r="I88" s="17" t="n">
        <x:f>IF(D88=0,"n.a.",H88/D88)</x:f>
        <x:v>0.735</x:v>
      </x:c>
      <x:c r="J88" s="19" t="n">
        <x:f>Inputs!D88</x:f>
        <x:v>282</x:v>
      </x:c>
      <x:c r="K88" s="2"/>
      <x:c r="L88" s="2"/>
      <x:c r="M88" s="2"/>
      <x:c r="N88" s="2"/>
      <x:c r="O88" s="2"/>
      <x:c r="P88" s="2"/>
    </x:row>
    <x:row r="89" ht="22" customHeight="1">
      <x:c r="A89" s="18" t="n">
        <x:f>Inputs!A89</x:f>
        <x:v>45870</x:v>
      </x:c>
      <x:c r="B89" s="19" t="str">
        <x:f>Inputs!B89</x:f>
        <x:v>Dine-in</x:v>
      </x:c>
      <x:c r="C89" s="19" t="str">
        <x:f>Inputs!C89</x:f>
        <x:v>Desserts</x:v>
      </x:c>
      <x:c r="D89" s="20" t="n">
        <x:f>ROUND(Inputs!D89*Inputs!E89,2)</x:f>
        <x:v>1408</x:v>
      </x:c>
      <x:c r="E89" s="20" t="n">
        <x:f>ROUND(Inputs!D89*Inputs!F89,2)</x:f>
        <x:v>448</x:v>
      </x:c>
      <x:c r="F89" s="10" t="n">
        <x:f>ROUND(D89*ROUND(Inputs!G89*10000,0)/100,0)/100</x:f>
        <x:v>21.12</x:v>
      </x:c>
      <x:c r="G89" s="10" t="n">
        <x:f>D89-E89</x:f>
        <x:v>960</x:v>
      </x:c>
      <x:c r="H89" s="10" t="n">
        <x:f>G89-F89</x:f>
        <x:v>938.88</x:v>
      </x:c>
      <x:c r="I89" s="17" t="n">
        <x:f>IF(D89=0,"n.a.",H89/D89)</x:f>
        <x:v>0.6668181818181819</x:v>
      </x:c>
      <x:c r="J89" s="19" t="n">
        <x:f>Inputs!D89</x:f>
        <x:v>128</x:v>
      </x:c>
      <x:c r="K89" s="2"/>
      <x:c r="L89" s="2"/>
      <x:c r="M89" s="2"/>
      <x:c r="N89" s="2"/>
      <x:c r="O89" s="2"/>
      <x:c r="P89" s="2"/>
    </x:row>
    <x:row r="90" ht="22" customHeight="1">
      <x:c r="A90" s="18" t="n">
        <x:f>Inputs!A90</x:f>
        <x:v>45870</x:v>
      </x:c>
      <x:c r="B90" s="19" t="str">
        <x:f>Inputs!B90</x:f>
        <x:v>Pickup</x:v>
      </x:c>
      <x:c r="C90" s="19" t="str">
        <x:f>Inputs!C90</x:f>
        <x:v>Mains</x:v>
      </x:c>
      <x:c r="D90" s="20" t="n">
        <x:f>ROUND(Inputs!D90*Inputs!E90,2)</x:f>
        <x:v>5256</x:v>
      </x:c>
      <x:c r="E90" s="20" t="n">
        <x:f>ROUND(Inputs!D90*Inputs!F90,2)</x:f>
        <x:v>1752</x:v>
      </x:c>
      <x:c r="F90" s="10" t="n">
        <x:f>ROUND(D90*ROUND(Inputs!G90*10000,0)/100,0)/100</x:f>
        <x:v>78.84</x:v>
      </x:c>
      <x:c r="G90" s="10" t="n">
        <x:f>D90-E90</x:f>
        <x:v>3504</x:v>
      </x:c>
      <x:c r="H90" s="10" t="n">
        <x:f>G90-F90</x:f>
        <x:v>3425.16</x:v>
      </x:c>
      <x:c r="I90" s="17" t="n">
        <x:f>IF(D90=0,"n.a.",H90/D90)</x:f>
        <x:v>0.6516666666666666</x:v>
      </x:c>
      <x:c r="J90" s="19" t="n">
        <x:f>Inputs!D90</x:f>
        <x:v>219</x:v>
      </x:c>
      <x:c r="K90" s="2"/>
      <x:c r="L90" s="2"/>
      <x:c r="M90" s="2"/>
      <x:c r="N90" s="2"/>
      <x:c r="O90" s="2"/>
      <x:c r="P90" s="2"/>
    </x:row>
    <x:row r="91" ht="22" customHeight="1">
      <x:c r="A91" s="18" t="n">
        <x:f>Inputs!A91</x:f>
        <x:v>45870</x:v>
      </x:c>
      <x:c r="B91" s="19" t="str">
        <x:f>Inputs!B91</x:f>
        <x:v>Pickup</x:v>
      </x:c>
      <x:c r="C91" s="19" t="str">
        <x:f>Inputs!C91</x:f>
        <x:v>Sides</x:v>
      </x:c>
      <x:c r="D91" s="20" t="n">
        <x:f>ROUND(Inputs!D91*Inputs!E91,2)</x:f>
        <x:v>1215</x:v>
      </x:c>
      <x:c r="E91" s="20" t="n">
        <x:f>ROUND(Inputs!D91*Inputs!F91,2)</x:f>
        <x:v>337.5</x:v>
      </x:c>
      <x:c r="F91" s="10" t="n">
        <x:f>ROUND(D91*ROUND(Inputs!G91*10000,0)/100,0)/100</x:f>
        <x:v>18.23</x:v>
      </x:c>
      <x:c r="G91" s="10" t="n">
        <x:f>D91-E91</x:f>
        <x:v>877.5</x:v>
      </x:c>
      <x:c r="H91" s="10" t="n">
        <x:f>G91-F91</x:f>
        <x:v>859.27</x:v>
      </x:c>
      <x:c r="I91" s="17" t="n">
        <x:f>IF(D91=0,"n.a.",H91/D91)</x:f>
        <x:v>0.7072181069958847</x:v>
      </x:c>
      <x:c r="J91" s="19" t="n">
        <x:f>Inputs!D91</x:f>
        <x:v>135</x:v>
      </x:c>
      <x:c r="K91" s="2"/>
      <x:c r="L91" s="2"/>
      <x:c r="M91" s="2"/>
      <x:c r="N91" s="2"/>
      <x:c r="O91" s="2"/>
      <x:c r="P91" s="2"/>
    </x:row>
    <x:row r="92" ht="22" customHeight="1">
      <x:c r="A92" s="18" t="n">
        <x:f>Inputs!A92</x:f>
        <x:v>45870</x:v>
      </x:c>
      <x:c r="B92" s="19" t="str">
        <x:f>Inputs!B92</x:f>
        <x:v>Pickup</x:v>
      </x:c>
      <x:c r="C92" s="19" t="str">
        <x:f>Inputs!C92</x:f>
        <x:v>Drinks</x:v>
      </x:c>
      <x:c r="D92" s="20" t="n">
        <x:f>ROUND(Inputs!D92*Inputs!E92,2)</x:f>
        <x:v>972</x:v>
      </x:c>
      <x:c r="E92" s="20" t="n">
        <x:f>ROUND(Inputs!D92*Inputs!F92,2)</x:f>
        <x:v>243</x:v>
      </x:c>
      <x:c r="F92" s="10" t="n">
        <x:f>ROUND(D92*ROUND(Inputs!G92*10000,0)/100,0)/100</x:f>
        <x:v>14.58</x:v>
      </x:c>
      <x:c r="G92" s="10" t="n">
        <x:f>D92-E92</x:f>
        <x:v>729</x:v>
      </x:c>
      <x:c r="H92" s="10" t="n">
        <x:f>G92-F92</x:f>
        <x:v>714.42</x:v>
      </x:c>
      <x:c r="I92" s="17" t="n">
        <x:f>IF(D92=0,"n.a.",H92/D92)</x:f>
        <x:v>0.735</x:v>
      </x:c>
      <x:c r="J92" s="19" t="n">
        <x:f>Inputs!D92</x:f>
        <x:v>162</x:v>
      </x:c>
      <x:c r="K92" s="2"/>
      <x:c r="L92" s="2"/>
      <x:c r="M92" s="2"/>
      <x:c r="N92" s="2"/>
      <x:c r="O92" s="2"/>
      <x:c r="P92" s="2"/>
    </x:row>
    <x:row r="93" ht="22" customHeight="1">
      <x:c r="A93" s="18" t="n">
        <x:f>Inputs!A93</x:f>
        <x:v>45870</x:v>
      </x:c>
      <x:c r="B93" s="19" t="str">
        <x:f>Inputs!B93</x:f>
        <x:v>Pickup</x:v>
      </x:c>
      <x:c r="C93" s="19" t="str">
        <x:f>Inputs!C93</x:f>
        <x:v>Desserts</x:v>
      </x:c>
      <x:c r="D93" s="20" t="n">
        <x:f>ROUND(Inputs!D93*Inputs!E93,2)</x:f>
        <x:v>924</x:v>
      </x:c>
      <x:c r="E93" s="20" t="n">
        <x:f>ROUND(Inputs!D93*Inputs!F93,2)</x:f>
        <x:v>294</x:v>
      </x:c>
      <x:c r="F93" s="10" t="n">
        <x:f>ROUND(D93*ROUND(Inputs!G93*10000,0)/100,0)/100</x:f>
        <x:v>13.86</x:v>
      </x:c>
      <x:c r="G93" s="10" t="n">
        <x:f>D93-E93</x:f>
        <x:v>630</x:v>
      </x:c>
      <x:c r="H93" s="10" t="n">
        <x:f>G93-F93</x:f>
        <x:v>616.14</x:v>
      </x:c>
      <x:c r="I93" s="17" t="n">
        <x:f>IF(D93=0,"n.a.",H93/D93)</x:f>
        <x:v>0.6668181818181818</x:v>
      </x:c>
      <x:c r="J93" s="19" t="n">
        <x:f>Inputs!D93</x:f>
        <x:v>84</x:v>
      </x:c>
      <x:c r="K93" s="2"/>
      <x:c r="L93" s="2"/>
      <x:c r="M93" s="2"/>
      <x:c r="N93" s="2"/>
      <x:c r="O93" s="2"/>
      <x:c r="P93" s="2"/>
    </x:row>
    <x:row r="94" ht="22" customHeight="1">
      <x:c r="A94" s="18" t="n">
        <x:f>Inputs!A94</x:f>
        <x:v>45870</x:v>
      </x:c>
      <x:c r="B94" s="19" t="str">
        <x:f>Inputs!B94</x:f>
        <x:v>Delivery</x:v>
      </x:c>
      <x:c r="C94" s="19" t="str">
        <x:f>Inputs!C94</x:f>
        <x:v>Mains</x:v>
      </x:c>
      <x:c r="D94" s="20" t="n">
        <x:f>ROUND(Inputs!D94*Inputs!E94,2)</x:f>
        <x:v>7128</x:v>
      </x:c>
      <x:c r="E94" s="20" t="n">
        <x:f>ROUND(Inputs!D94*Inputs!F94,2)</x:f>
        <x:v>2376</x:v>
      </x:c>
      <x:c r="F94" s="10" t="n">
        <x:f>ROUND(D94*ROUND(Inputs!G94*10000,0)/100,0)/100</x:f>
        <x:v>1995.84</x:v>
      </x:c>
      <x:c r="G94" s="10" t="n">
        <x:f>D94-E94</x:f>
        <x:v>4752</x:v>
      </x:c>
      <x:c r="H94" s="10" t="n">
        <x:f>G94-F94</x:f>
        <x:v>2756.16</x:v>
      </x:c>
      <x:c r="I94" s="17" t="n">
        <x:f>IF(D94=0,"n.a.",H94/D94)</x:f>
        <x:v>0.38666666666666666</x:v>
      </x:c>
      <x:c r="J94" s="19" t="n">
        <x:f>Inputs!D94</x:f>
        <x:v>297</x:v>
      </x:c>
      <x:c r="K94" s="2"/>
      <x:c r="L94" s="2"/>
      <x:c r="M94" s="2"/>
      <x:c r="N94" s="2"/>
      <x:c r="O94" s="2"/>
      <x:c r="P94" s="2"/>
    </x:row>
    <x:row r="95" ht="22" customHeight="1">
      <x:c r="A95" s="18" t="n">
        <x:f>Inputs!A95</x:f>
        <x:v>45870</x:v>
      </x:c>
      <x:c r="B95" s="19" t="str">
        <x:f>Inputs!B95</x:f>
        <x:v>Delivery</x:v>
      </x:c>
      <x:c r="C95" s="19" t="str">
        <x:f>Inputs!C95</x:f>
        <x:v>Sides</x:v>
      </x:c>
      <x:c r="D95" s="20" t="n">
        <x:f>ROUND(Inputs!D95*Inputs!E95,2)</x:f>
        <x:v>1575</x:v>
      </x:c>
      <x:c r="E95" s="20" t="n">
        <x:f>ROUND(Inputs!D95*Inputs!F95,2)</x:f>
        <x:v>437.5</x:v>
      </x:c>
      <x:c r="F95" s="10" t="n">
        <x:f>ROUND(D95*ROUND(Inputs!G95*10000,0)/100,0)/100</x:f>
        <x:v>441</x:v>
      </x:c>
      <x:c r="G95" s="10" t="n">
        <x:f>D95-E95</x:f>
        <x:v>1137.5</x:v>
      </x:c>
      <x:c r="H95" s="10" t="n">
        <x:f>G95-F95</x:f>
        <x:v>696.5</x:v>
      </x:c>
      <x:c r="I95" s="17" t="n">
        <x:f>IF(D95=0,"n.a.",H95/D95)</x:f>
        <x:v>0.44222222222222224</x:v>
      </x:c>
      <x:c r="J95" s="19" t="n">
        <x:f>Inputs!D95</x:f>
        <x:v>175</x:v>
      </x:c>
      <x:c r="K95" s="2"/>
      <x:c r="L95" s="2"/>
      <x:c r="M95" s="2"/>
      <x:c r="N95" s="2"/>
      <x:c r="O95" s="2"/>
      <x:c r="P95" s="2"/>
    </x:row>
    <x:row r="96" ht="22" customHeight="1">
      <x:c r="A96" s="18" t="n">
        <x:f>Inputs!A96</x:f>
        <x:v>45870</x:v>
      </x:c>
      <x:c r="B96" s="19" t="str">
        <x:f>Inputs!B96</x:f>
        <x:v>Delivery</x:v>
      </x:c>
      <x:c r="C96" s="19" t="str">
        <x:f>Inputs!C96</x:f>
        <x:v>Drinks</x:v>
      </x:c>
      <x:c r="D96" s="20" t="n">
        <x:f>ROUND(Inputs!D96*Inputs!E96,2)</x:f>
        <x:v>1188</x:v>
      </x:c>
      <x:c r="E96" s="20" t="n">
        <x:f>ROUND(Inputs!D96*Inputs!F96,2)</x:f>
        <x:v>297</x:v>
      </x:c>
      <x:c r="F96" s="10" t="n">
        <x:f>ROUND(D96*ROUND(Inputs!G96*10000,0)/100,0)/100</x:f>
        <x:v>332.64</x:v>
      </x:c>
      <x:c r="G96" s="10" t="n">
        <x:f>D96-E96</x:f>
        <x:v>891</x:v>
      </x:c>
      <x:c r="H96" s="10" t="n">
        <x:f>G96-F96</x:f>
        <x:v>558.36</x:v>
      </x:c>
      <x:c r="I96" s="17" t="n">
        <x:f>IF(D96=0,"n.a.",H96/D96)</x:f>
        <x:v>0.47000000000000003</x:v>
      </x:c>
      <x:c r="J96" s="19" t="n">
        <x:f>Inputs!D96</x:f>
        <x:v>198</x:v>
      </x:c>
      <x:c r="K96" s="2"/>
      <x:c r="L96" s="2"/>
      <x:c r="M96" s="2"/>
      <x:c r="N96" s="2"/>
      <x:c r="O96" s="2"/>
      <x:c r="P96" s="2"/>
    </x:row>
    <x:row r="97" ht="22" customHeight="1">
      <x:c r="A97" s="18" t="n">
        <x:f>Inputs!A97</x:f>
        <x:v>45870</x:v>
      </x:c>
      <x:c r="B97" s="19" t="str">
        <x:f>Inputs!B97</x:f>
        <x:v>Delivery</x:v>
      </x:c>
      <x:c r="C97" s="19" t="str">
        <x:f>Inputs!C97</x:f>
        <x:v>Desserts</x:v>
      </x:c>
      <x:c r="D97" s="20" t="n">
        <x:f>ROUND(Inputs!D97*Inputs!E97,2)</x:f>
        <x:v>1100</x:v>
      </x:c>
      <x:c r="E97" s="20" t="n">
        <x:f>ROUND(Inputs!D97*Inputs!F97,2)</x:f>
        <x:v>350</x:v>
      </x:c>
      <x:c r="F97" s="10" t="n">
        <x:f>ROUND(D97*ROUND(Inputs!G97*10000,0)/100,0)/100</x:f>
        <x:v>308</x:v>
      </x:c>
      <x:c r="G97" s="10" t="n">
        <x:f>D97-E97</x:f>
        <x:v>750</x:v>
      </x:c>
      <x:c r="H97" s="10" t="n">
        <x:f>G97-F97</x:f>
        <x:v>442</x:v>
      </x:c>
      <x:c r="I97" s="17" t="n">
        <x:f>IF(D97=0,"n.a.",H97/D97)</x:f>
        <x:v>0.4018181818181818</x:v>
      </x:c>
      <x:c r="J97" s="19" t="n">
        <x:f>Inputs!D97</x:f>
        <x:v>100</x:v>
      </x:c>
      <x:c r="K97" s="2"/>
      <x:c r="L97" s="2"/>
      <x:c r="M97" s="2"/>
      <x:c r="N97" s="2"/>
      <x:c r="O97" s="2"/>
      <x:c r="P97" s="2"/>
    </x:row>
    <x:row r="98" ht="22" customHeight="1">
      <x:c r="A98" s="18" t="n">
        <x:f>Inputs!A98</x:f>
        <x:v>45901</x:v>
      </x:c>
      <x:c r="B98" s="19" t="str">
        <x:f>Inputs!B98</x:f>
        <x:v>Dine-in</x:v>
      </x:c>
      <x:c r="C98" s="19" t="str">
        <x:f>Inputs!C98</x:f>
        <x:v>Mains</x:v>
      </x:c>
      <x:c r="D98" s="20" t="n">
        <x:f>ROUND(Inputs!D98*Inputs!E98,2)</x:f>
        <x:v>10248</x:v>
      </x:c>
      <x:c r="E98" s="20" t="n">
        <x:f>ROUND(Inputs!D98*Inputs!F98,2)</x:f>
        <x:v>3416</x:v>
      </x:c>
      <x:c r="F98" s="10" t="n">
        <x:f>ROUND(D98*ROUND(Inputs!G98*10000,0)/100,0)/100</x:f>
        <x:v>153.72</x:v>
      </x:c>
      <x:c r="G98" s="10" t="n">
        <x:f>D98-E98</x:f>
        <x:v>6832</x:v>
      </x:c>
      <x:c r="H98" s="10" t="n">
        <x:f>G98-F98</x:f>
        <x:v>6678.28</x:v>
      </x:c>
      <x:c r="I98" s="17" t="n">
        <x:f>IF(D98=0,"n.a.",H98/D98)</x:f>
        <x:v>0.6516666666666666</x:v>
      </x:c>
      <x:c r="J98" s="19" t="n">
        <x:f>Inputs!D98</x:f>
        <x:v>427</x:v>
      </x:c>
      <x:c r="K98" s="2"/>
      <x:c r="L98" s="2"/>
      <x:c r="M98" s="2"/>
      <x:c r="N98" s="2"/>
      <x:c r="O98" s="2"/>
      <x:c r="P98" s="2"/>
    </x:row>
    <x:row r="99" ht="22" customHeight="1">
      <x:c r="A99" s="18" t="n">
        <x:f>Inputs!A99</x:f>
        <x:v>45901</x:v>
      </x:c>
      <x:c r="B99" s="19" t="str">
        <x:f>Inputs!B99</x:f>
        <x:v>Dine-in</x:v>
      </x:c>
      <x:c r="C99" s="19" t="str">
        <x:f>Inputs!C99</x:f>
        <x:v>Sides</x:v>
      </x:c>
      <x:c r="D99" s="20" t="n">
        <x:f>ROUND(Inputs!D99*Inputs!E99,2)</x:f>
        <x:v>2232</x:v>
      </x:c>
      <x:c r="E99" s="20" t="n">
        <x:f>ROUND(Inputs!D99*Inputs!F99,2)</x:f>
        <x:v>620</x:v>
      </x:c>
      <x:c r="F99" s="10" t="n">
        <x:f>ROUND(D99*ROUND(Inputs!G99*10000,0)/100,0)/100</x:f>
        <x:v>33.48</x:v>
      </x:c>
      <x:c r="G99" s="10" t="n">
        <x:f>D99-E99</x:f>
        <x:v>1612</x:v>
      </x:c>
      <x:c r="H99" s="10" t="n">
        <x:f>G99-F99</x:f>
        <x:v>1578.52</x:v>
      </x:c>
      <x:c r="I99" s="17" t="n">
        <x:f>IF(D99=0,"n.a.",H99/D99)</x:f>
        <x:v>0.7072222222222222</x:v>
      </x:c>
      <x:c r="J99" s="19" t="n">
        <x:f>Inputs!D99</x:f>
        <x:v>248</x:v>
      </x:c>
      <x:c r="K99" s="2"/>
      <x:c r="L99" s="2"/>
      <x:c r="M99" s="2"/>
      <x:c r="N99" s="2"/>
      <x:c r="O99" s="2"/>
      <x:c r="P99" s="2"/>
    </x:row>
    <x:row r="100" ht="22" customHeight="1">
      <x:c r="A100" s="18" t="n">
        <x:f>Inputs!A100</x:f>
        <x:v>45901</x:v>
      </x:c>
      <x:c r="B100" s="19" t="str">
        <x:f>Inputs!B100</x:f>
        <x:v>Dine-in</x:v>
      </x:c>
      <x:c r="C100" s="19" t="str">
        <x:f>Inputs!C100</x:f>
        <x:v>Drinks</x:v>
      </x:c>
      <x:c r="D100" s="20" t="n">
        <x:f>ROUND(Inputs!D100*Inputs!E100,2)</x:f>
        <x:v>1884</x:v>
      </x:c>
      <x:c r="E100" s="20" t="n">
        <x:f>ROUND(Inputs!D100*Inputs!F100,2)</x:f>
        <x:v>471</x:v>
      </x:c>
      <x:c r="F100" s="10" t="n">
        <x:f>ROUND(D100*ROUND(Inputs!G100*10000,0)/100,0)/100</x:f>
        <x:v>28.26</x:v>
      </x:c>
      <x:c r="G100" s="10" t="n">
        <x:f>D100-E100</x:f>
        <x:v>1413</x:v>
      </x:c>
      <x:c r="H100" s="10" t="n">
        <x:f>G100-F100</x:f>
        <x:v>1384.74</x:v>
      </x:c>
      <x:c r="I100" s="17" t="n">
        <x:f>IF(D100=0,"n.a.",H100/D100)</x:f>
        <x:v>0.735</x:v>
      </x:c>
      <x:c r="J100" s="19" t="n">
        <x:f>Inputs!D100</x:f>
        <x:v>314</x:v>
      </x:c>
      <x:c r="K100" s="2"/>
      <x:c r="L100" s="2"/>
      <x:c r="M100" s="2"/>
      <x:c r="N100" s="2"/>
      <x:c r="O100" s="2"/>
      <x:c r="P100" s="2"/>
    </x:row>
    <x:row r="101" ht="22" customHeight="1">
      <x:c r="A101" s="18" t="n">
        <x:f>Inputs!A101</x:f>
        <x:v>45901</x:v>
      </x:c>
      <x:c r="B101" s="19" t="str">
        <x:f>Inputs!B101</x:f>
        <x:v>Dine-in</x:v>
      </x:c>
      <x:c r="C101" s="19" t="str">
        <x:f>Inputs!C101</x:f>
        <x:v>Desserts</x:v>
      </x:c>
      <x:c r="D101" s="20" t="n">
        <x:f>ROUND(Inputs!D101*Inputs!E101,2)</x:f>
        <x:v>1650</x:v>
      </x:c>
      <x:c r="E101" s="20" t="n">
        <x:f>ROUND(Inputs!D101*Inputs!F101,2)</x:f>
        <x:v>525</x:v>
      </x:c>
      <x:c r="F101" s="10" t="n">
        <x:f>ROUND(D101*ROUND(Inputs!G101*10000,0)/100,0)/100</x:f>
        <x:v>24.75</x:v>
      </x:c>
      <x:c r="G101" s="10" t="n">
        <x:f>D101-E101</x:f>
        <x:v>1125</x:v>
      </x:c>
      <x:c r="H101" s="10" t="n">
        <x:f>G101-F101</x:f>
        <x:v>1100.25</x:v>
      </x:c>
      <x:c r="I101" s="17" t="n">
        <x:f>IF(D101=0,"n.a.",H101/D101)</x:f>
        <x:v>0.6668181818181819</x:v>
      </x:c>
      <x:c r="J101" s="19" t="n">
        <x:f>Inputs!D101</x:f>
        <x:v>150</x:v>
      </x:c>
      <x:c r="K101" s="2"/>
      <x:c r="L101" s="2"/>
      <x:c r="M101" s="2"/>
      <x:c r="N101" s="2"/>
      <x:c r="O101" s="2"/>
      <x:c r="P101" s="2"/>
    </x:row>
    <x:row r="102" ht="22" customHeight="1">
      <x:c r="A102" s="18" t="n">
        <x:f>Inputs!A102</x:f>
        <x:v>45901</x:v>
      </x:c>
      <x:c r="B102" s="19" t="str">
        <x:f>Inputs!B102</x:f>
        <x:v>Pickup</x:v>
      </x:c>
      <x:c r="C102" s="19" t="str">
        <x:f>Inputs!C102</x:f>
        <x:v>Mains</x:v>
      </x:c>
      <x:c r="D102" s="20" t="n">
        <x:f>ROUND(Inputs!D102*Inputs!E102,2)</x:f>
        <x:v>5808</x:v>
      </x:c>
      <x:c r="E102" s="20" t="n">
        <x:f>ROUND(Inputs!D102*Inputs!F102,2)</x:f>
        <x:v>1936</x:v>
      </x:c>
      <x:c r="F102" s="10" t="n">
        <x:f>ROUND(D102*ROUND(Inputs!G102*10000,0)/100,0)/100</x:f>
        <x:v>87.12</x:v>
      </x:c>
      <x:c r="G102" s="10" t="n">
        <x:f>D102-E102</x:f>
        <x:v>3872</x:v>
      </x:c>
      <x:c r="H102" s="10" t="n">
        <x:f>G102-F102</x:f>
        <x:v>3784.88</x:v>
      </x:c>
      <x:c r="I102" s="17" t="n">
        <x:f>IF(D102=0,"n.a.",H102/D102)</x:f>
        <x:v>0.6516666666666667</x:v>
      </x:c>
      <x:c r="J102" s="19" t="n">
        <x:f>Inputs!D102</x:f>
        <x:v>242</x:v>
      </x:c>
      <x:c r="K102" s="2"/>
      <x:c r="L102" s="2"/>
      <x:c r="M102" s="2"/>
      <x:c r="N102" s="2"/>
      <x:c r="O102" s="2"/>
      <x:c r="P102" s="2"/>
    </x:row>
    <x:row r="103" ht="22" customHeight="1">
      <x:c r="A103" s="18" t="n">
        <x:f>Inputs!A103</x:f>
        <x:v>45901</x:v>
      </x:c>
      <x:c r="B103" s="19" t="str">
        <x:f>Inputs!B103</x:f>
        <x:v>Pickup</x:v>
      </x:c>
      <x:c r="C103" s="19" t="str">
        <x:f>Inputs!C103</x:f>
        <x:v>Sides</x:v>
      </x:c>
      <x:c r="D103" s="20" t="n">
        <x:f>ROUND(Inputs!D103*Inputs!E103,2)</x:f>
        <x:v>1494</x:v>
      </x:c>
      <x:c r="E103" s="20" t="n">
        <x:f>ROUND(Inputs!D103*Inputs!F103,2)</x:f>
        <x:v>415</x:v>
      </x:c>
      <x:c r="F103" s="10" t="n">
        <x:f>ROUND(D103*ROUND(Inputs!G103*10000,0)/100,0)/100</x:f>
        <x:v>22.41</x:v>
      </x:c>
      <x:c r="G103" s="10" t="n">
        <x:f>D103-E103</x:f>
        <x:v>1079</x:v>
      </x:c>
      <x:c r="H103" s="10" t="n">
        <x:f>G103-F103</x:f>
        <x:v>1056.59</x:v>
      </x:c>
      <x:c r="I103" s="17" t="n">
        <x:f>IF(D103=0,"n.a.",H103/D103)</x:f>
        <x:v>0.7072222222222222</x:v>
      </x:c>
      <x:c r="J103" s="19" t="n">
        <x:f>Inputs!D103</x:f>
        <x:v>166</x:v>
      </x:c>
      <x:c r="K103" s="2"/>
      <x:c r="L103" s="2"/>
      <x:c r="M103" s="2"/>
      <x:c r="N103" s="2"/>
      <x:c r="O103" s="2"/>
      <x:c r="P103" s="2"/>
    </x:row>
    <x:row r="104" ht="22" customHeight="1">
      <x:c r="A104" s="18" t="n">
        <x:f>Inputs!A104</x:f>
        <x:v>45901</x:v>
      </x:c>
      <x:c r="B104" s="19" t="str">
        <x:f>Inputs!B104</x:f>
        <x:v>Pickup</x:v>
      </x:c>
      <x:c r="C104" s="19" t="str">
        <x:f>Inputs!C104</x:f>
        <x:v>Drinks</x:v>
      </x:c>
      <x:c r="D104" s="20" t="n">
        <x:f>ROUND(Inputs!D104*Inputs!E104,2)</x:f>
        <x:v>1176</x:v>
      </x:c>
      <x:c r="E104" s="20" t="n">
        <x:f>ROUND(Inputs!D104*Inputs!F104,2)</x:f>
        <x:v>294</x:v>
      </x:c>
      <x:c r="F104" s="10" t="n">
        <x:f>ROUND(D104*ROUND(Inputs!G104*10000,0)/100,0)/100</x:f>
        <x:v>17.64</x:v>
      </x:c>
      <x:c r="G104" s="10" t="n">
        <x:f>D104-E104</x:f>
        <x:v>882</x:v>
      </x:c>
      <x:c r="H104" s="10" t="n">
        <x:f>G104-F104</x:f>
        <x:v>864.36</x:v>
      </x:c>
      <x:c r="I104" s="17" t="n">
        <x:f>IF(D104=0,"n.a.",H104/D104)</x:f>
        <x:v>0.735</x:v>
      </x:c>
      <x:c r="J104" s="19" t="n">
        <x:f>Inputs!D104</x:f>
        <x:v>196</x:v>
      </x:c>
      <x:c r="K104" s="2"/>
      <x:c r="L104" s="2"/>
      <x:c r="M104" s="2"/>
      <x:c r="N104" s="2"/>
      <x:c r="O104" s="2"/>
      <x:c r="P104" s="2"/>
    </x:row>
    <x:row r="105" ht="22" customHeight="1">
      <x:c r="A105" s="18" t="n">
        <x:f>Inputs!A105</x:f>
        <x:v>45901</x:v>
      </x:c>
      <x:c r="B105" s="19" t="str">
        <x:f>Inputs!B105</x:f>
        <x:v>Pickup</x:v>
      </x:c>
      <x:c r="C105" s="19" t="str">
        <x:f>Inputs!C105</x:f>
        <x:v>Desserts</x:v>
      </x:c>
      <x:c r="D105" s="20" t="n">
        <x:f>ROUND(Inputs!D105*Inputs!E105,2)</x:f>
        <x:v>1023</x:v>
      </x:c>
      <x:c r="E105" s="20" t="n">
        <x:f>ROUND(Inputs!D105*Inputs!F105,2)</x:f>
        <x:v>325.5</x:v>
      </x:c>
      <x:c r="F105" s="10" t="n">
        <x:f>ROUND(D105*ROUND(Inputs!G105*10000,0)/100,0)/100</x:f>
        <x:v>15.35</x:v>
      </x:c>
      <x:c r="G105" s="10" t="n">
        <x:f>D105-E105</x:f>
        <x:v>697.5</x:v>
      </x:c>
      <x:c r="H105" s="10" t="n">
        <x:f>G105-F105</x:f>
        <x:v>682.15</x:v>
      </x:c>
      <x:c r="I105" s="17" t="n">
        <x:f>IF(D105=0,"n.a.",H105/D105)</x:f>
        <x:v>0.666813294232649</x:v>
      </x:c>
      <x:c r="J105" s="19" t="n">
        <x:f>Inputs!D105</x:f>
        <x:v>93</x:v>
      </x:c>
      <x:c r="K105" s="2"/>
      <x:c r="L105" s="2"/>
      <x:c r="M105" s="2"/>
      <x:c r="N105" s="2"/>
      <x:c r="O105" s="2"/>
      <x:c r="P105" s="2"/>
    </x:row>
    <x:row r="106" ht="22" customHeight="1">
      <x:c r="A106" s="18" t="n">
        <x:f>Inputs!A106</x:f>
        <x:v>45901</x:v>
      </x:c>
      <x:c r="B106" s="19" t="str">
        <x:f>Inputs!B106</x:f>
        <x:v>Delivery</x:v>
      </x:c>
      <x:c r="C106" s="19" t="str">
        <x:f>Inputs!C106</x:f>
        <x:v>Mains</x:v>
      </x:c>
      <x:c r="D106" s="20" t="n">
        <x:f>ROUND(Inputs!D106*Inputs!E106,2)</x:f>
        <x:v>7416</x:v>
      </x:c>
      <x:c r="E106" s="20" t="n">
        <x:f>ROUND(Inputs!D106*Inputs!F106,2)</x:f>
        <x:v>2472</x:v>
      </x:c>
      <x:c r="F106" s="10" t="n">
        <x:f>ROUND(D106*ROUND(Inputs!G106*10000,0)/100,0)/100</x:f>
        <x:v>2076.48</x:v>
      </x:c>
      <x:c r="G106" s="10" t="n">
        <x:f>D106-E106</x:f>
        <x:v>4944</x:v>
      </x:c>
      <x:c r="H106" s="10" t="n">
        <x:f>G106-F106</x:f>
        <x:v>2867.52</x:v>
      </x:c>
      <x:c r="I106" s="17" t="n">
        <x:f>IF(D106=0,"n.a.",H106/D106)</x:f>
        <x:v>0.38666666666666666</x:v>
      </x:c>
      <x:c r="J106" s="19" t="n">
        <x:f>Inputs!D106</x:f>
        <x:v>309</x:v>
      </x:c>
      <x:c r="K106" s="2"/>
      <x:c r="L106" s="2"/>
      <x:c r="M106" s="2"/>
      <x:c r="N106" s="2"/>
      <x:c r="O106" s="2"/>
      <x:c r="P106" s="2"/>
    </x:row>
    <x:row r="107" ht="22" customHeight="1">
      <x:c r="A107" s="18" t="n">
        <x:f>Inputs!A107</x:f>
        <x:v>45901</x:v>
      </x:c>
      <x:c r="B107" s="19" t="str">
        <x:f>Inputs!B107</x:f>
        <x:v>Delivery</x:v>
      </x:c>
      <x:c r="C107" s="19" t="str">
        <x:f>Inputs!C107</x:f>
        <x:v>Sides</x:v>
      </x:c>
      <x:c r="D107" s="20" t="n">
        <x:f>ROUND(Inputs!D107*Inputs!E107,2)</x:f>
        <x:v>1809</x:v>
      </x:c>
      <x:c r="E107" s="20" t="n">
        <x:f>ROUND(Inputs!D107*Inputs!F107,2)</x:f>
        <x:v>502.5</x:v>
      </x:c>
      <x:c r="F107" s="10" t="n">
        <x:f>ROUND(D107*ROUND(Inputs!G107*10000,0)/100,0)/100</x:f>
        <x:v>506.52</x:v>
      </x:c>
      <x:c r="G107" s="10" t="n">
        <x:f>D107-E107</x:f>
        <x:v>1306.5</x:v>
      </x:c>
      <x:c r="H107" s="10" t="n">
        <x:f>G107-F107</x:f>
        <x:v>799.98</x:v>
      </x:c>
      <x:c r="I107" s="17" t="n">
        <x:f>IF(D107=0,"n.a.",H107/D107)</x:f>
        <x:v>0.44222222222222224</x:v>
      </x:c>
      <x:c r="J107" s="19" t="n">
        <x:f>Inputs!D107</x:f>
        <x:v>201</x:v>
      </x:c>
      <x:c r="K107" s="2"/>
      <x:c r="L107" s="2"/>
      <x:c r="M107" s="2"/>
      <x:c r="N107" s="2"/>
      <x:c r="O107" s="2"/>
      <x:c r="P107" s="2"/>
    </x:row>
    <x:row r="108" ht="22" customHeight="1">
      <x:c r="A108" s="18" t="n">
        <x:f>Inputs!A108</x:f>
        <x:v>45901</x:v>
      </x:c>
      <x:c r="B108" s="19" t="str">
        <x:f>Inputs!B108</x:f>
        <x:v>Delivery</x:v>
      </x:c>
      <x:c r="C108" s="19" t="str">
        <x:f>Inputs!C108</x:f>
        <x:v>Drinks</x:v>
      </x:c>
      <x:c r="D108" s="20" t="n">
        <x:f>ROUND(Inputs!D108*Inputs!E108,2)</x:f>
        <x:v>1338</x:v>
      </x:c>
      <x:c r="E108" s="20" t="n">
        <x:f>ROUND(Inputs!D108*Inputs!F108,2)</x:f>
        <x:v>334.5</x:v>
      </x:c>
      <x:c r="F108" s="10" t="n">
        <x:f>ROUND(D108*ROUND(Inputs!G108*10000,0)/100,0)/100</x:f>
        <x:v>374.64</x:v>
      </x:c>
      <x:c r="G108" s="10" t="n">
        <x:f>D108-E108</x:f>
        <x:v>1003.5</x:v>
      </x:c>
      <x:c r="H108" s="10" t="n">
        <x:f>G108-F108</x:f>
        <x:v>628.86</x:v>
      </x:c>
      <x:c r="I108" s="17" t="n">
        <x:f>IF(D108=0,"n.a.",H108/D108)</x:f>
        <x:v>0.47000000000000003</x:v>
      </x:c>
      <x:c r="J108" s="19" t="n">
        <x:f>Inputs!D108</x:f>
        <x:v>223</x:v>
      </x:c>
      <x:c r="K108" s="2"/>
      <x:c r="L108" s="2"/>
      <x:c r="M108" s="2"/>
      <x:c r="N108" s="2"/>
      <x:c r="O108" s="2"/>
      <x:c r="P108" s="2"/>
    </x:row>
    <x:row r="109" ht="22" customHeight="1">
      <x:c r="A109" s="18" t="n">
        <x:f>Inputs!A109</x:f>
        <x:v>45901</x:v>
      </x:c>
      <x:c r="B109" s="19" t="str">
        <x:f>Inputs!B109</x:f>
        <x:v>Delivery</x:v>
      </x:c>
      <x:c r="C109" s="19" t="str">
        <x:f>Inputs!C109</x:f>
        <x:v>Desserts</x:v>
      </x:c>
      <x:c r="D109" s="20" t="n">
        <x:f>ROUND(Inputs!D109*Inputs!E109,2)</x:f>
        <x:v>1243</x:v>
      </x:c>
      <x:c r="E109" s="20" t="n">
        <x:f>ROUND(Inputs!D109*Inputs!F109,2)</x:f>
        <x:v>395.5</x:v>
      </x:c>
      <x:c r="F109" s="10" t="n">
        <x:f>ROUND(D109*ROUND(Inputs!G109*10000,0)/100,0)/100</x:f>
        <x:v>348.04</x:v>
      </x:c>
      <x:c r="G109" s="10" t="n">
        <x:f>D109-E109</x:f>
        <x:v>847.5</x:v>
      </x:c>
      <x:c r="H109" s="10" t="n">
        <x:f>G109-F109</x:f>
        <x:v>499.46</x:v>
      </x:c>
      <x:c r="I109" s="17" t="n">
        <x:f>IF(D109=0,"n.a.",H109/D109)</x:f>
        <x:v>0.4018181818181818</x:v>
      </x:c>
      <x:c r="J109" s="19" t="n">
        <x:f>Inputs!D109</x:f>
        <x:v>113</x:v>
      </x:c>
      <x:c r="K109" s="2"/>
      <x:c r="L109" s="2"/>
      <x:c r="M109" s="2"/>
      <x:c r="N109" s="2"/>
      <x:c r="O109" s="2"/>
      <x:c r="P109" s="2"/>
    </x:row>
    <x:row r="110" ht="22" customHeight="1">
      <x:c r="A110" s="18" t="n">
        <x:f>Inputs!A110</x:f>
        <x:v>45931</x:v>
      </x:c>
      <x:c r="B110" s="19" t="str">
        <x:f>Inputs!B110</x:f>
        <x:v>Dine-in</x:v>
      </x:c>
      <x:c r="C110" s="19" t="str">
        <x:f>Inputs!C110</x:f>
        <x:v>Mains</x:v>
      </x:c>
      <x:c r="D110" s="20" t="n">
        <x:f>ROUND(Inputs!D110*Inputs!E110,2)</x:f>
        <x:v>10320</x:v>
      </x:c>
      <x:c r="E110" s="20" t="n">
        <x:f>ROUND(Inputs!D110*Inputs!F110,2)</x:f>
        <x:v>3440</x:v>
      </x:c>
      <x:c r="F110" s="10" t="n">
        <x:f>ROUND(D110*ROUND(Inputs!G110*10000,0)/100,0)/100</x:f>
        <x:v>154.8</x:v>
      </x:c>
      <x:c r="G110" s="10" t="n">
        <x:f>D110-E110</x:f>
        <x:v>6880</x:v>
      </x:c>
      <x:c r="H110" s="10" t="n">
        <x:f>G110-F110</x:f>
        <x:v>6725.2</x:v>
      </x:c>
      <x:c r="I110" s="17" t="n">
        <x:f>IF(D110=0,"n.a.",H110/D110)</x:f>
        <x:v>0.6516666666666666</x:v>
      </x:c>
      <x:c r="J110" s="19" t="n">
        <x:f>Inputs!D110</x:f>
        <x:v>430</x:v>
      </x:c>
      <x:c r="K110" s="2"/>
      <x:c r="L110" s="2"/>
      <x:c r="M110" s="2"/>
      <x:c r="N110" s="2"/>
      <x:c r="O110" s="2"/>
      <x:c r="P110" s="2"/>
    </x:row>
    <x:row r="111" ht="22" customHeight="1">
      <x:c r="A111" s="18" t="n">
        <x:f>Inputs!A111</x:f>
        <x:v>45931</x:v>
      </x:c>
      <x:c r="B111" s="19" t="str">
        <x:f>Inputs!B111</x:f>
        <x:v>Dine-in</x:v>
      </x:c>
      <x:c r="C111" s="19" t="str">
        <x:f>Inputs!C111</x:f>
        <x:v>Sides</x:v>
      </x:c>
      <x:c r="D111" s="20" t="n">
        <x:f>ROUND(Inputs!D111*Inputs!E111,2)</x:f>
        <x:v>2565</x:v>
      </x:c>
      <x:c r="E111" s="20" t="n">
        <x:f>ROUND(Inputs!D111*Inputs!F111,2)</x:f>
        <x:v>712.5</x:v>
      </x:c>
      <x:c r="F111" s="10" t="n">
        <x:f>ROUND(D111*ROUND(Inputs!G111*10000,0)/100,0)/100</x:f>
        <x:v>38.48</x:v>
      </x:c>
      <x:c r="G111" s="10" t="n">
        <x:f>D111-E111</x:f>
        <x:v>1852.5</x:v>
      </x:c>
      <x:c r="H111" s="10" t="n">
        <x:f>G111-F111</x:f>
        <x:v>1814.02</x:v>
      </x:c>
      <x:c r="I111" s="17" t="n">
        <x:f>IF(D111=0,"n.a.",H111/D111)</x:f>
        <x:v>0.7072202729044834</x:v>
      </x:c>
      <x:c r="J111" s="19" t="n">
        <x:f>Inputs!D111</x:f>
        <x:v>285</x:v>
      </x:c>
      <x:c r="K111" s="2"/>
      <x:c r="L111" s="2"/>
      <x:c r="M111" s="2"/>
      <x:c r="N111" s="2"/>
      <x:c r="O111" s="2"/>
      <x:c r="P111" s="2"/>
    </x:row>
    <x:row r="112" ht="22" customHeight="1">
      <x:c r="A112" s="18" t="n">
        <x:f>Inputs!A112</x:f>
        <x:v>45931</x:v>
      </x:c>
      <x:c r="B112" s="19" t="str">
        <x:f>Inputs!B112</x:f>
        <x:v>Dine-in</x:v>
      </x:c>
      <x:c r="C112" s="19" t="str">
        <x:f>Inputs!C112</x:f>
        <x:v>Drinks</x:v>
      </x:c>
      <x:c r="D112" s="20" t="n">
        <x:f>ROUND(Inputs!D112*Inputs!E112,2)</x:f>
        <x:v>2016</x:v>
      </x:c>
      <x:c r="E112" s="20" t="n">
        <x:f>ROUND(Inputs!D112*Inputs!F112,2)</x:f>
        <x:v>504</x:v>
      </x:c>
      <x:c r="F112" s="10" t="n">
        <x:f>ROUND(D112*ROUND(Inputs!G112*10000,0)/100,0)/100</x:f>
        <x:v>30.24</x:v>
      </x:c>
      <x:c r="G112" s="10" t="n">
        <x:f>D112-E112</x:f>
        <x:v>1512</x:v>
      </x:c>
      <x:c r="H112" s="10" t="n">
        <x:f>G112-F112</x:f>
        <x:v>1481.76</x:v>
      </x:c>
      <x:c r="I112" s="17" t="n">
        <x:f>IF(D112=0,"n.a.",H112/D112)</x:f>
        <x:v>0.735</x:v>
      </x:c>
      <x:c r="J112" s="19" t="n">
        <x:f>Inputs!D112</x:f>
        <x:v>336</x:v>
      </x:c>
      <x:c r="K112" s="2"/>
      <x:c r="L112" s="2"/>
      <x:c r="M112" s="2"/>
      <x:c r="N112" s="2"/>
      <x:c r="O112" s="2"/>
      <x:c r="P112" s="2"/>
    </x:row>
    <x:row r="113" ht="22" customHeight="1">
      <x:c r="A113" s="18" t="n">
        <x:f>Inputs!A113</x:f>
        <x:v>45931</x:v>
      </x:c>
      <x:c r="B113" s="19" t="str">
        <x:f>Inputs!B113</x:f>
        <x:v>Dine-in</x:v>
      </x:c>
      <x:c r="C113" s="19" t="str">
        <x:f>Inputs!C113</x:f>
        <x:v>Desserts</x:v>
      </x:c>
      <x:c r="D113" s="20" t="n">
        <x:f>ROUND(Inputs!D113*Inputs!E113,2)</x:f>
        <x:v>1639</x:v>
      </x:c>
      <x:c r="E113" s="20" t="n">
        <x:f>ROUND(Inputs!D113*Inputs!F113,2)</x:f>
        <x:v>521.5</x:v>
      </x:c>
      <x:c r="F113" s="10" t="n">
        <x:f>ROUND(D113*ROUND(Inputs!G113*10000,0)/100,0)/100</x:f>
        <x:v>24.59</x:v>
      </x:c>
      <x:c r="G113" s="10" t="n">
        <x:f>D113-E113</x:f>
        <x:v>1117.5</x:v>
      </x:c>
      <x:c r="H113" s="10" t="n">
        <x:f>G113-F113</x:f>
        <x:v>1092.91</x:v>
      </x:c>
      <x:c r="I113" s="17" t="n">
        <x:f>IF(D113=0,"n.a.",H113/D113)</x:f>
        <x:v>0.6668151311775473</x:v>
      </x:c>
      <x:c r="J113" s="19" t="n">
        <x:f>Inputs!D113</x:f>
        <x:v>149</x:v>
      </x:c>
      <x:c r="K113" s="2"/>
      <x:c r="L113" s="2"/>
      <x:c r="M113" s="2"/>
      <x:c r="N113" s="2"/>
      <x:c r="O113" s="2"/>
      <x:c r="P113" s="2"/>
    </x:row>
    <x:row r="114" ht="22" customHeight="1">
      <x:c r="A114" s="18" t="n">
        <x:f>Inputs!A114</x:f>
        <x:v>45931</x:v>
      </x:c>
      <x:c r="B114" s="19" t="str">
        <x:f>Inputs!B114</x:f>
        <x:v>Pickup</x:v>
      </x:c>
      <x:c r="C114" s="19" t="str">
        <x:f>Inputs!C114</x:f>
        <x:v>Mains</x:v>
      </x:c>
      <x:c r="D114" s="20" t="n">
        <x:f>ROUND(Inputs!D114*Inputs!E114,2)</x:f>
        <x:v>6744</x:v>
      </x:c>
      <x:c r="E114" s="20" t="n">
        <x:f>ROUND(Inputs!D114*Inputs!F114,2)</x:f>
        <x:v>2248</x:v>
      </x:c>
      <x:c r="F114" s="10" t="n">
        <x:f>ROUND(D114*ROUND(Inputs!G114*10000,0)/100,0)/100</x:f>
        <x:v>101.16</x:v>
      </x:c>
      <x:c r="G114" s="10" t="n">
        <x:f>D114-E114</x:f>
        <x:v>4496</x:v>
      </x:c>
      <x:c r="H114" s="10" t="n">
        <x:f>G114-F114</x:f>
        <x:v>4394.84</x:v>
      </x:c>
      <x:c r="I114" s="17" t="n">
        <x:f>IF(D114=0,"n.a.",H114/D114)</x:f>
        <x:v>0.6516666666666667</x:v>
      </x:c>
      <x:c r="J114" s="19" t="n">
        <x:f>Inputs!D114</x:f>
        <x:v>281</x:v>
      </x:c>
      <x:c r="K114" s="2"/>
      <x:c r="L114" s="2"/>
      <x:c r="M114" s="2"/>
      <x:c r="N114" s="2"/>
      <x:c r="O114" s="2"/>
      <x:c r="P114" s="2"/>
    </x:row>
    <x:row r="115" ht="22" customHeight="1">
      <x:c r="A115" s="18" t="n">
        <x:f>Inputs!A115</x:f>
        <x:v>45931</x:v>
      </x:c>
      <x:c r="B115" s="19" t="str">
        <x:f>Inputs!B115</x:f>
        <x:v>Pickup</x:v>
      </x:c>
      <x:c r="C115" s="19" t="str">
        <x:f>Inputs!C115</x:f>
        <x:v>Sides</x:v>
      </x:c>
      <x:c r="D115" s="20" t="n">
        <x:f>ROUND(Inputs!D115*Inputs!E115,2)</x:f>
        <x:v>1494</x:v>
      </x:c>
      <x:c r="E115" s="20" t="n">
        <x:f>ROUND(Inputs!D115*Inputs!F115,2)</x:f>
        <x:v>415</x:v>
      </x:c>
      <x:c r="F115" s="10" t="n">
        <x:f>ROUND(D115*ROUND(Inputs!G115*10000,0)/100,0)/100</x:f>
        <x:v>22.41</x:v>
      </x:c>
      <x:c r="G115" s="10" t="n">
        <x:f>D115-E115</x:f>
        <x:v>1079</x:v>
      </x:c>
      <x:c r="H115" s="10" t="n">
        <x:f>G115-F115</x:f>
        <x:v>1056.59</x:v>
      </x:c>
      <x:c r="I115" s="17" t="n">
        <x:f>IF(D115=0,"n.a.",H115/D115)</x:f>
        <x:v>0.7072222222222222</x:v>
      </x:c>
      <x:c r="J115" s="19" t="n">
        <x:f>Inputs!D115</x:f>
        <x:v>166</x:v>
      </x:c>
      <x:c r="K115" s="2"/>
      <x:c r="L115" s="2"/>
      <x:c r="M115" s="2"/>
      <x:c r="N115" s="2"/>
      <x:c r="O115" s="2"/>
      <x:c r="P115" s="2"/>
    </x:row>
    <x:row r="116" ht="22" customHeight="1">
      <x:c r="A116" s="18" t="n">
        <x:f>Inputs!A116</x:f>
        <x:v>45931</x:v>
      </x:c>
      <x:c r="B116" s="19" t="str">
        <x:f>Inputs!B116</x:f>
        <x:v>Pickup</x:v>
      </x:c>
      <x:c r="C116" s="19" t="str">
        <x:f>Inputs!C116</x:f>
        <x:v>Drinks</x:v>
      </x:c>
      <x:c r="D116" s="20" t="n">
        <x:f>ROUND(Inputs!D116*Inputs!E116,2)</x:f>
        <x:v>1320</x:v>
      </x:c>
      <x:c r="E116" s="20" t="n">
        <x:f>ROUND(Inputs!D116*Inputs!F116,2)</x:f>
        <x:v>330</x:v>
      </x:c>
      <x:c r="F116" s="10" t="n">
        <x:f>ROUND(D116*ROUND(Inputs!G116*10000,0)/100,0)/100</x:f>
        <x:v>19.8</x:v>
      </x:c>
      <x:c r="G116" s="10" t="n">
        <x:f>D116-E116</x:f>
        <x:v>990</x:v>
      </x:c>
      <x:c r="H116" s="10" t="n">
        <x:f>G116-F116</x:f>
        <x:v>970.2</x:v>
      </x:c>
      <x:c r="I116" s="17" t="n">
        <x:f>IF(D116=0,"n.a.",H116/D116)</x:f>
        <x:v>0.735</x:v>
      </x:c>
      <x:c r="J116" s="19" t="n">
        <x:f>Inputs!D116</x:f>
        <x:v>220</x:v>
      </x:c>
      <x:c r="K116" s="2"/>
      <x:c r="L116" s="2"/>
      <x:c r="M116" s="2"/>
      <x:c r="N116" s="2"/>
      <x:c r="O116" s="2"/>
      <x:c r="P116" s="2"/>
    </x:row>
    <x:row r="117" ht="22" customHeight="1">
      <x:c r="A117" s="18" t="n">
        <x:f>Inputs!A117</x:f>
        <x:v>45931</x:v>
      </x:c>
      <x:c r="B117" s="19" t="str">
        <x:f>Inputs!B117</x:f>
        <x:v>Pickup</x:v>
      </x:c>
      <x:c r="C117" s="19" t="str">
        <x:f>Inputs!C117</x:f>
        <x:v>Desserts</x:v>
      </x:c>
      <x:c r="D117" s="20" t="n">
        <x:f>ROUND(Inputs!D117*Inputs!E117,2)</x:f>
        <x:v>1166</x:v>
      </x:c>
      <x:c r="E117" s="20" t="n">
        <x:f>ROUND(Inputs!D117*Inputs!F117,2)</x:f>
        <x:v>371</x:v>
      </x:c>
      <x:c r="F117" s="10" t="n">
        <x:f>ROUND(D117*ROUND(Inputs!G117*10000,0)/100,0)/100</x:f>
        <x:v>17.49</x:v>
      </x:c>
      <x:c r="G117" s="10" t="n">
        <x:f>D117-E117</x:f>
        <x:v>795</x:v>
      </x:c>
      <x:c r="H117" s="10" t="n">
        <x:f>G117-F117</x:f>
        <x:v>777.51</x:v>
      </x:c>
      <x:c r="I117" s="17" t="n">
        <x:f>IF(D117=0,"n.a.",H117/D117)</x:f>
        <x:v>0.6668181818181819</x:v>
      </x:c>
      <x:c r="J117" s="19" t="n">
        <x:f>Inputs!D117</x:f>
        <x:v>106</x:v>
      </x:c>
      <x:c r="K117" s="2"/>
      <x:c r="L117" s="2"/>
      <x:c r="M117" s="2"/>
      <x:c r="N117" s="2"/>
      <x:c r="O117" s="2"/>
      <x:c r="P117" s="2"/>
    </x:row>
    <x:row r="118" ht="22" customHeight="1">
      <x:c r="A118" s="18" t="n">
        <x:f>Inputs!A118</x:f>
        <x:v>45931</x:v>
      </x:c>
      <x:c r="B118" s="19" t="str">
        <x:f>Inputs!B118</x:f>
        <x:v>Delivery</x:v>
      </x:c>
      <x:c r="C118" s="19" t="str">
        <x:f>Inputs!C118</x:f>
        <x:v>Mains</x:v>
      </x:c>
      <x:c r="D118" s="20" t="n">
        <x:f>ROUND(Inputs!D118*Inputs!E118,2)</x:f>
        <x:v>8064</x:v>
      </x:c>
      <x:c r="E118" s="20" t="n">
        <x:f>ROUND(Inputs!D118*Inputs!F118,2)</x:f>
        <x:v>2688</x:v>
      </x:c>
      <x:c r="F118" s="10" t="n">
        <x:f>ROUND(D118*ROUND(Inputs!G118*10000,0)/100,0)/100</x:f>
        <x:v>2257.92</x:v>
      </x:c>
      <x:c r="G118" s="10" t="n">
        <x:f>D118-E118</x:f>
        <x:v>5376</x:v>
      </x:c>
      <x:c r="H118" s="10" t="n">
        <x:f>G118-F118</x:f>
        <x:v>3118.08</x:v>
      </x:c>
      <x:c r="I118" s="17" t="n">
        <x:f>IF(D118=0,"n.a.",H118/D118)</x:f>
        <x:v>0.38666666666666666</x:v>
      </x:c>
      <x:c r="J118" s="19" t="n">
        <x:f>Inputs!D118</x:f>
        <x:v>336</x:v>
      </x:c>
      <x:c r="K118" s="2"/>
      <x:c r="L118" s="2"/>
      <x:c r="M118" s="2"/>
      <x:c r="N118" s="2"/>
      <x:c r="O118" s="2"/>
      <x:c r="P118" s="2"/>
    </x:row>
    <x:row r="119" ht="22" customHeight="1">
      <x:c r="A119" s="18" t="n">
        <x:f>Inputs!A119</x:f>
        <x:v>45931</x:v>
      </x:c>
      <x:c r="B119" s="19" t="str">
        <x:f>Inputs!B119</x:f>
        <x:v>Delivery</x:v>
      </x:c>
      <x:c r="C119" s="19" t="str">
        <x:f>Inputs!C119</x:f>
        <x:v>Sides</x:v>
      </x:c>
      <x:c r="D119" s="20" t="n">
        <x:f>ROUND(Inputs!D119*Inputs!E119,2)</x:f>
        <x:v>1962</x:v>
      </x:c>
      <x:c r="E119" s="20" t="n">
        <x:f>ROUND(Inputs!D119*Inputs!F119,2)</x:f>
        <x:v>545</x:v>
      </x:c>
      <x:c r="F119" s="10" t="n">
        <x:f>ROUND(D119*ROUND(Inputs!G119*10000,0)/100,0)/100</x:f>
        <x:v>549.36</x:v>
      </x:c>
      <x:c r="G119" s="10" t="n">
        <x:f>D119-E119</x:f>
        <x:v>1417</x:v>
      </x:c>
      <x:c r="H119" s="10" t="n">
        <x:f>G119-F119</x:f>
        <x:v>867.64</x:v>
      </x:c>
      <x:c r="I119" s="17" t="n">
        <x:f>IF(D119=0,"n.a.",H119/D119)</x:f>
        <x:v>0.44222222222222224</x:v>
      </x:c>
      <x:c r="J119" s="19" t="n">
        <x:f>Inputs!D119</x:f>
        <x:v>218</x:v>
      </x:c>
      <x:c r="K119" s="2"/>
      <x:c r="L119" s="2"/>
      <x:c r="M119" s="2"/>
      <x:c r="N119" s="2"/>
      <x:c r="O119" s="2"/>
      <x:c r="P119" s="2"/>
    </x:row>
    <x:row r="120" ht="22" customHeight="1">
      <x:c r="A120" s="18" t="n">
        <x:f>Inputs!A120</x:f>
        <x:v>45931</x:v>
      </x:c>
      <x:c r="B120" s="19" t="str">
        <x:f>Inputs!B120</x:f>
        <x:v>Delivery</x:v>
      </x:c>
      <x:c r="C120" s="19" t="str">
        <x:f>Inputs!C120</x:f>
        <x:v>Drinks</x:v>
      </x:c>
      <x:c r="D120" s="20" t="n">
        <x:f>ROUND(Inputs!D120*Inputs!E120,2)</x:f>
        <x:v>1554</x:v>
      </x:c>
      <x:c r="E120" s="20" t="n">
        <x:f>ROUND(Inputs!D120*Inputs!F120,2)</x:f>
        <x:v>388.5</x:v>
      </x:c>
      <x:c r="F120" s="10" t="n">
        <x:f>ROUND(D120*ROUND(Inputs!G120*10000,0)/100,0)/100</x:f>
        <x:v>435.12</x:v>
      </x:c>
      <x:c r="G120" s="10" t="n">
        <x:f>D120-E120</x:f>
        <x:v>1165.5</x:v>
      </x:c>
      <x:c r="H120" s="10" t="n">
        <x:f>G120-F120</x:f>
        <x:v>730.38</x:v>
      </x:c>
      <x:c r="I120" s="17" t="n">
        <x:f>IF(D120=0,"n.a.",H120/D120)</x:f>
        <x:v>0.47</x:v>
      </x:c>
      <x:c r="J120" s="19" t="n">
        <x:f>Inputs!D120</x:f>
        <x:v>259</x:v>
      </x:c>
      <x:c r="K120" s="2"/>
      <x:c r="L120" s="2"/>
      <x:c r="M120" s="2"/>
      <x:c r="N120" s="2"/>
      <x:c r="O120" s="2"/>
      <x:c r="P120" s="2"/>
    </x:row>
    <x:row r="121" ht="22" customHeight="1">
      <x:c r="A121" s="18" t="n">
        <x:f>Inputs!A121</x:f>
        <x:v>45931</x:v>
      </x:c>
      <x:c r="B121" s="19" t="str">
        <x:f>Inputs!B121</x:f>
        <x:v>Delivery</x:v>
      </x:c>
      <x:c r="C121" s="19" t="str">
        <x:f>Inputs!C121</x:f>
        <x:v>Desserts</x:v>
      </x:c>
      <x:c r="D121" s="20" t="n">
        <x:f>ROUND(Inputs!D121*Inputs!E121,2)</x:f>
        <x:v>1298</x:v>
      </x:c>
      <x:c r="E121" s="20" t="n">
        <x:f>ROUND(Inputs!D121*Inputs!F121,2)</x:f>
        <x:v>413</x:v>
      </x:c>
      <x:c r="F121" s="10" t="n">
        <x:f>ROUND(D121*ROUND(Inputs!G121*10000,0)/100,0)/100</x:f>
        <x:v>363.44</x:v>
      </x:c>
      <x:c r="G121" s="10" t="n">
        <x:f>D121-E121</x:f>
        <x:v>885</x:v>
      </x:c>
      <x:c r="H121" s="10" t="n">
        <x:f>G121-F121</x:f>
        <x:v>521.56</x:v>
      </x:c>
      <x:c r="I121" s="17" t="n">
        <x:f>IF(D121=0,"n.a.",H121/D121)</x:f>
        <x:v>0.4018181818181818</x:v>
      </x:c>
      <x:c r="J121" s="19" t="n">
        <x:f>Inputs!D121</x:f>
        <x:v>118</x:v>
      </x:c>
      <x:c r="K121" s="2"/>
      <x:c r="L121" s="2"/>
      <x:c r="M121" s="2"/>
      <x:c r="N121" s="2"/>
      <x:c r="O121" s="2"/>
      <x:c r="P121" s="2"/>
    </x:row>
    <x:row r="122" ht="22" customHeight="1">
      <x:c r="A122" s="18" t="n">
        <x:f>Inputs!A122</x:f>
        <x:v>45962</x:v>
      </x:c>
      <x:c r="B122" s="19" t="str">
        <x:f>Inputs!B122</x:f>
        <x:v>Dine-in</x:v>
      </x:c>
      <x:c r="C122" s="19" t="str">
        <x:f>Inputs!C122</x:f>
        <x:v>Mains</x:v>
      </x:c>
      <x:c r="D122" s="20" t="n">
        <x:f>ROUND(Inputs!D122*Inputs!E122,2)</x:f>
        <x:v>11496</x:v>
      </x:c>
      <x:c r="E122" s="20" t="n">
        <x:f>ROUND(Inputs!D122*Inputs!F122,2)</x:f>
        <x:v>3832</x:v>
      </x:c>
      <x:c r="F122" s="10" t="n">
        <x:f>ROUND(D122*ROUND(Inputs!G122*10000,0)/100,0)/100</x:f>
        <x:v>172.44</x:v>
      </x:c>
      <x:c r="G122" s="10" t="n">
        <x:f>D122-E122</x:f>
        <x:v>7664</x:v>
      </x:c>
      <x:c r="H122" s="10" t="n">
        <x:f>G122-F122</x:f>
        <x:v>7491.56</x:v>
      </x:c>
      <x:c r="I122" s="17" t="n">
        <x:f>IF(D122=0,"n.a.",H122/D122)</x:f>
        <x:v>0.6516666666666667</x:v>
      </x:c>
      <x:c r="J122" s="19" t="n">
        <x:f>Inputs!D122</x:f>
        <x:v>479</x:v>
      </x:c>
      <x:c r="K122" s="2"/>
      <x:c r="L122" s="2"/>
      <x:c r="M122" s="2"/>
      <x:c r="N122" s="2"/>
      <x:c r="O122" s="2"/>
      <x:c r="P122" s="2"/>
    </x:row>
    <x:row r="123" ht="22" customHeight="1">
      <x:c r="A123" s="18" t="n">
        <x:f>Inputs!A123</x:f>
        <x:v>45962</x:v>
      </x:c>
      <x:c r="B123" s="19" t="str">
        <x:f>Inputs!B123</x:f>
        <x:v>Dine-in</x:v>
      </x:c>
      <x:c r="C123" s="19" t="str">
        <x:f>Inputs!C123</x:f>
        <x:v>Sides</x:v>
      </x:c>
      <x:c r="D123" s="20" t="n">
        <x:f>ROUND(Inputs!D123*Inputs!E123,2)</x:f>
        <x:v>2592</x:v>
      </x:c>
      <x:c r="E123" s="20" t="n">
        <x:f>ROUND(Inputs!D123*Inputs!F123,2)</x:f>
        <x:v>720</x:v>
      </x:c>
      <x:c r="F123" s="10" t="n">
        <x:f>ROUND(D123*ROUND(Inputs!G123*10000,0)/100,0)/100</x:f>
        <x:v>38.88</x:v>
      </x:c>
      <x:c r="G123" s="10" t="n">
        <x:f>D123-E123</x:f>
        <x:v>1872</x:v>
      </x:c>
      <x:c r="H123" s="10" t="n">
        <x:f>G123-F123</x:f>
        <x:v>1833.12</x:v>
      </x:c>
      <x:c r="I123" s="17" t="n">
        <x:f>IF(D123=0,"n.a.",H123/D123)</x:f>
        <x:v>0.7072222222222222</x:v>
      </x:c>
      <x:c r="J123" s="19" t="n">
        <x:f>Inputs!D123</x:f>
        <x:v>288</x:v>
      </x:c>
      <x:c r="K123" s="2"/>
      <x:c r="L123" s="2"/>
      <x:c r="M123" s="2"/>
      <x:c r="N123" s="2"/>
      <x:c r="O123" s="2"/>
      <x:c r="P123" s="2"/>
    </x:row>
    <x:row r="124" ht="22" customHeight="1">
      <x:c r="A124" s="18" t="n">
        <x:f>Inputs!A124</x:f>
        <x:v>45962</x:v>
      </x:c>
      <x:c r="B124" s="19" t="str">
        <x:f>Inputs!B124</x:f>
        <x:v>Dine-in</x:v>
      </x:c>
      <x:c r="C124" s="19" t="str">
        <x:f>Inputs!C124</x:f>
        <x:v>Drinks</x:v>
      </x:c>
      <x:c r="D124" s="20" t="n">
        <x:f>ROUND(Inputs!D124*Inputs!E124,2)</x:f>
        <x:v>2124</x:v>
      </x:c>
      <x:c r="E124" s="20" t="n">
        <x:f>ROUND(Inputs!D124*Inputs!F124,2)</x:f>
        <x:v>531</x:v>
      </x:c>
      <x:c r="F124" s="10" t="n">
        <x:f>ROUND(D124*ROUND(Inputs!G124*10000,0)/100,0)/100</x:f>
        <x:v>31.86</x:v>
      </x:c>
      <x:c r="G124" s="10" t="n">
        <x:f>D124-E124</x:f>
        <x:v>1593</x:v>
      </x:c>
      <x:c r="H124" s="10" t="n">
        <x:f>G124-F124</x:f>
        <x:v>1561.14</x:v>
      </x:c>
      <x:c r="I124" s="17" t="n">
        <x:f>IF(D124=0,"n.a.",H124/D124)</x:f>
        <x:v>0.7350000000000001</x:v>
      </x:c>
      <x:c r="J124" s="19" t="n">
        <x:f>Inputs!D124</x:f>
        <x:v>354</x:v>
      </x:c>
      <x:c r="K124" s="2"/>
      <x:c r="L124" s="2"/>
      <x:c r="M124" s="2"/>
      <x:c r="N124" s="2"/>
      <x:c r="O124" s="2"/>
      <x:c r="P124" s="2"/>
    </x:row>
    <x:row r="125" ht="22" customHeight="1">
      <x:c r="A125" s="18" t="n">
        <x:f>Inputs!A125</x:f>
        <x:v>45962</x:v>
      </x:c>
      <x:c r="B125" s="19" t="str">
        <x:f>Inputs!B125</x:f>
        <x:v>Dine-in</x:v>
      </x:c>
      <x:c r="C125" s="19" t="str">
        <x:f>Inputs!C125</x:f>
        <x:v>Desserts</x:v>
      </x:c>
      <x:c r="D125" s="20" t="n">
        <x:f>ROUND(Inputs!D125*Inputs!E125,2)</x:f>
        <x:v>1826</x:v>
      </x:c>
      <x:c r="E125" s="20" t="n">
        <x:f>ROUND(Inputs!D125*Inputs!F125,2)</x:f>
        <x:v>581</x:v>
      </x:c>
      <x:c r="F125" s="10" t="n">
        <x:f>ROUND(D125*ROUND(Inputs!G125*10000,0)/100,0)/100</x:f>
        <x:v>27.39</x:v>
      </x:c>
      <x:c r="G125" s="10" t="n">
        <x:f>D125-E125</x:f>
        <x:v>1245</x:v>
      </x:c>
      <x:c r="H125" s="10" t="n">
        <x:f>G125-F125</x:f>
        <x:v>1217.61</x:v>
      </x:c>
      <x:c r="I125" s="17" t="n">
        <x:f>IF(D125=0,"n.a.",H125/D125)</x:f>
        <x:v>0.6668181818181818</x:v>
      </x:c>
      <x:c r="J125" s="19" t="n">
        <x:f>Inputs!D125</x:f>
        <x:v>166</x:v>
      </x:c>
      <x:c r="K125" s="2"/>
      <x:c r="L125" s="2"/>
      <x:c r="M125" s="2"/>
      <x:c r="N125" s="2"/>
      <x:c r="O125" s="2"/>
      <x:c r="P125" s="2"/>
    </x:row>
    <x:row r="126" ht="22" customHeight="1">
      <x:c r="A126" s="18" t="n">
        <x:f>Inputs!A126</x:f>
        <x:v>45962</x:v>
      </x:c>
      <x:c r="B126" s="19" t="str">
        <x:f>Inputs!B126</x:f>
        <x:v>Pickup</x:v>
      </x:c>
      <x:c r="C126" s="19" t="str">
        <x:f>Inputs!C126</x:f>
        <x:v>Mains</x:v>
      </x:c>
      <x:c r="D126" s="20" t="n">
        <x:f>ROUND(Inputs!D126*Inputs!E126,2)</x:f>
        <x:v>6696</x:v>
      </x:c>
      <x:c r="E126" s="20" t="n">
        <x:f>ROUND(Inputs!D126*Inputs!F126,2)</x:f>
        <x:v>2232</x:v>
      </x:c>
      <x:c r="F126" s="10" t="n">
        <x:f>ROUND(D126*ROUND(Inputs!G126*10000,0)/100,0)/100</x:f>
        <x:v>100.44</x:v>
      </x:c>
      <x:c r="G126" s="10" t="n">
        <x:f>D126-E126</x:f>
        <x:v>4464</x:v>
      </x:c>
      <x:c r="H126" s="10" t="n">
        <x:f>G126-F126</x:f>
        <x:v>4363.56</x:v>
      </x:c>
      <x:c r="I126" s="17" t="n">
        <x:f>IF(D126=0,"n.a.",H126/D126)</x:f>
        <x:v>0.6516666666666667</x:v>
      </x:c>
      <x:c r="J126" s="19" t="n">
        <x:f>Inputs!D126</x:f>
        <x:v>279</x:v>
      </x:c>
      <x:c r="K126" s="2"/>
      <x:c r="L126" s="2"/>
      <x:c r="M126" s="2"/>
      <x:c r="N126" s="2"/>
      <x:c r="O126" s="2"/>
      <x:c r="P126" s="2"/>
    </x:row>
    <x:row r="127" ht="22" customHeight="1">
      <x:c r="A127" s="18" t="n">
        <x:f>Inputs!A127</x:f>
        <x:v>45962</x:v>
      </x:c>
      <x:c r="B127" s="19" t="str">
        <x:f>Inputs!B127</x:f>
        <x:v>Pickup</x:v>
      </x:c>
      <x:c r="C127" s="19" t="str">
        <x:f>Inputs!C127</x:f>
        <x:v>Sides</x:v>
      </x:c>
      <x:c r="D127" s="20" t="n">
        <x:f>ROUND(Inputs!D127*Inputs!E127,2)</x:f>
        <x:v>1629</x:v>
      </x:c>
      <x:c r="E127" s="20" t="n">
        <x:f>ROUND(Inputs!D127*Inputs!F127,2)</x:f>
        <x:v>452.5</x:v>
      </x:c>
      <x:c r="F127" s="10" t="n">
        <x:f>ROUND(D127*ROUND(Inputs!G127*10000,0)/100,0)/100</x:f>
        <x:v>24.44</x:v>
      </x:c>
      <x:c r="G127" s="10" t="n">
        <x:f>D127-E127</x:f>
        <x:v>1176.5</x:v>
      </x:c>
      <x:c r="H127" s="10" t="n">
        <x:f>G127-F127</x:f>
        <x:v>1152.06</x:v>
      </x:c>
      <x:c r="I127" s="17" t="n">
        <x:f>IF(D127=0,"n.a.",H127/D127)</x:f>
        <x:v>0.707219152854512</x:v>
      </x:c>
      <x:c r="J127" s="19" t="n">
        <x:f>Inputs!D127</x:f>
        <x:v>181</x:v>
      </x:c>
      <x:c r="K127" s="2"/>
      <x:c r="L127" s="2"/>
      <x:c r="M127" s="2"/>
      <x:c r="N127" s="2"/>
      <x:c r="O127" s="2"/>
      <x:c r="P127" s="2"/>
    </x:row>
    <x:row r="128" ht="22" customHeight="1">
      <x:c r="A128" s="18" t="n">
        <x:f>Inputs!A128</x:f>
        <x:v>45962</x:v>
      </x:c>
      <x:c r="B128" s="19" t="str">
        <x:f>Inputs!B128</x:f>
        <x:v>Pickup</x:v>
      </x:c>
      <x:c r="C128" s="19" t="str">
        <x:f>Inputs!C128</x:f>
        <x:v>Drinks</x:v>
      </x:c>
      <x:c r="D128" s="20" t="n">
        <x:f>ROUND(Inputs!D128*Inputs!E128,2)</x:f>
        <x:v>1242</x:v>
      </x:c>
      <x:c r="E128" s="20" t="n">
        <x:f>ROUND(Inputs!D128*Inputs!F128,2)</x:f>
        <x:v>310.5</x:v>
      </x:c>
      <x:c r="F128" s="10" t="n">
        <x:f>ROUND(D128*ROUND(Inputs!G128*10000,0)/100,0)/100</x:f>
        <x:v>18.63</x:v>
      </x:c>
      <x:c r="G128" s="10" t="n">
        <x:f>D128-E128</x:f>
        <x:v>931.5</x:v>
      </x:c>
      <x:c r="H128" s="10" t="n">
        <x:f>G128-F128</x:f>
        <x:v>912.87</x:v>
      </x:c>
      <x:c r="I128" s="17" t="n">
        <x:f>IF(D128=0,"n.a.",H128/D128)</x:f>
        <x:v>0.735</x:v>
      </x:c>
      <x:c r="J128" s="19" t="n">
        <x:f>Inputs!D128</x:f>
        <x:v>207</x:v>
      </x:c>
      <x:c r="K128" s="2"/>
      <x:c r="L128" s="2"/>
      <x:c r="M128" s="2"/>
      <x:c r="N128" s="2"/>
      <x:c r="O128" s="2"/>
      <x:c r="P128" s="2"/>
    </x:row>
    <x:row r="129" ht="22" customHeight="1">
      <x:c r="A129" s="18" t="n">
        <x:f>Inputs!A129</x:f>
        <x:v>45962</x:v>
      </x:c>
      <x:c r="B129" s="19" t="str">
        <x:f>Inputs!B129</x:f>
        <x:v>Pickup</x:v>
      </x:c>
      <x:c r="C129" s="19" t="str">
        <x:f>Inputs!C129</x:f>
        <x:v>Desserts</x:v>
      </x:c>
      <x:c r="D129" s="20" t="n">
        <x:f>ROUND(Inputs!D129*Inputs!E129,2)</x:f>
        <x:v>1254</x:v>
      </x:c>
      <x:c r="E129" s="20" t="n">
        <x:f>ROUND(Inputs!D129*Inputs!F129,2)</x:f>
        <x:v>399</x:v>
      </x:c>
      <x:c r="F129" s="10" t="n">
        <x:f>ROUND(D129*ROUND(Inputs!G129*10000,0)/100,0)/100</x:f>
        <x:v>18.81</x:v>
      </x:c>
      <x:c r="G129" s="10" t="n">
        <x:f>D129-E129</x:f>
        <x:v>855</x:v>
      </x:c>
      <x:c r="H129" s="10" t="n">
        <x:f>G129-F129</x:f>
        <x:v>836.19</x:v>
      </x:c>
      <x:c r="I129" s="17" t="n">
        <x:f>IF(D129=0,"n.a.",H129/D129)</x:f>
        <x:v>0.6668181818181819</x:v>
      </x:c>
      <x:c r="J129" s="19" t="n">
        <x:f>Inputs!D129</x:f>
        <x:v>114</x:v>
      </x:c>
      <x:c r="K129" s="2"/>
      <x:c r="L129" s="2"/>
      <x:c r="M129" s="2"/>
      <x:c r="N129" s="2"/>
      <x:c r="O129" s="2"/>
      <x:c r="P129" s="2"/>
    </x:row>
    <x:row r="130" ht="22" customHeight="1">
      <x:c r="A130" s="18" t="n">
        <x:f>Inputs!A130</x:f>
        <x:v>45962</x:v>
      </x:c>
      <x:c r="B130" s="19" t="str">
        <x:f>Inputs!B130</x:f>
        <x:v>Delivery</x:v>
      </x:c>
      <x:c r="C130" s="19" t="str">
        <x:f>Inputs!C130</x:f>
        <x:v>Mains</x:v>
      </x:c>
      <x:c r="D130" s="20" t="n">
        <x:f>ROUND(Inputs!D130*Inputs!E130,2)</x:f>
        <x:v>9336</x:v>
      </x:c>
      <x:c r="E130" s="20" t="n">
        <x:f>ROUND(Inputs!D130*Inputs!F130,2)</x:f>
        <x:v>3112</x:v>
      </x:c>
      <x:c r="F130" s="10" t="n">
        <x:f>ROUND(D130*ROUND(Inputs!G130*10000,0)/100,0)/100</x:f>
        <x:v>2614.08</x:v>
      </x:c>
      <x:c r="G130" s="10" t="n">
        <x:f>D130-E130</x:f>
        <x:v>6224</x:v>
      </x:c>
      <x:c r="H130" s="10" t="n">
        <x:f>G130-F130</x:f>
        <x:v>3609.92</x:v>
      </x:c>
      <x:c r="I130" s="17" t="n">
        <x:f>IF(D130=0,"n.a.",H130/D130)</x:f>
        <x:v>0.38666666666666666</x:v>
      </x:c>
      <x:c r="J130" s="19" t="n">
        <x:f>Inputs!D130</x:f>
        <x:v>389</x:v>
      </x:c>
      <x:c r="K130" s="2"/>
      <x:c r="L130" s="2"/>
      <x:c r="M130" s="2"/>
      <x:c r="N130" s="2"/>
      <x:c r="O130" s="2"/>
      <x:c r="P130" s="2"/>
    </x:row>
    <x:row r="131" ht="22" customHeight="1">
      <x:c r="A131" s="18" t="n">
        <x:f>Inputs!A131</x:f>
        <x:v>45962</x:v>
      </x:c>
      <x:c r="B131" s="19" t="str">
        <x:f>Inputs!B131</x:f>
        <x:v>Delivery</x:v>
      </x:c>
      <x:c r="C131" s="19" t="str">
        <x:f>Inputs!C131</x:f>
        <x:v>Sides</x:v>
      </x:c>
      <x:c r="D131" s="20" t="n">
        <x:f>ROUND(Inputs!D131*Inputs!E131,2)</x:f>
        <x:v>2151</x:v>
      </x:c>
      <x:c r="E131" s="20" t="n">
        <x:f>ROUND(Inputs!D131*Inputs!F131,2)</x:f>
        <x:v>597.5</x:v>
      </x:c>
      <x:c r="F131" s="10" t="n">
        <x:f>ROUND(D131*ROUND(Inputs!G131*10000,0)/100,0)/100</x:f>
        <x:v>602.28</x:v>
      </x:c>
      <x:c r="G131" s="10" t="n">
        <x:f>D131-E131</x:f>
        <x:v>1553.5</x:v>
      </x:c>
      <x:c r="H131" s="10" t="n">
        <x:f>G131-F131</x:f>
        <x:v>951.22</x:v>
      </x:c>
      <x:c r="I131" s="17" t="n">
        <x:f>IF(D131=0,"n.a.",H131/D131)</x:f>
        <x:v>0.44222222222222224</x:v>
      </x:c>
      <x:c r="J131" s="19" t="n">
        <x:f>Inputs!D131</x:f>
        <x:v>239</x:v>
      </x:c>
      <x:c r="K131" s="2"/>
      <x:c r="L131" s="2"/>
      <x:c r="M131" s="2"/>
      <x:c r="N131" s="2"/>
      <x:c r="O131" s="2"/>
      <x:c r="P131" s="2"/>
    </x:row>
    <x:row r="132" ht="22" customHeight="1">
      <x:c r="A132" s="18" t="n">
        <x:f>Inputs!A132</x:f>
        <x:v>45962</x:v>
      </x:c>
      <x:c r="B132" s="19" t="str">
        <x:f>Inputs!B132</x:f>
        <x:v>Delivery</x:v>
      </x:c>
      <x:c r="C132" s="19" t="str">
        <x:f>Inputs!C132</x:f>
        <x:v>Drinks</x:v>
      </x:c>
      <x:c r="D132" s="20" t="n">
        <x:f>ROUND(Inputs!D132*Inputs!E132,2)</x:f>
        <x:v>1590</x:v>
      </x:c>
      <x:c r="E132" s="20" t="n">
        <x:f>ROUND(Inputs!D132*Inputs!F132,2)</x:f>
        <x:v>397.5</x:v>
      </x:c>
      <x:c r="F132" s="10" t="n">
        <x:f>ROUND(D132*ROUND(Inputs!G132*10000,0)/100,0)/100</x:f>
        <x:v>445.2</x:v>
      </x:c>
      <x:c r="G132" s="10" t="n">
        <x:f>D132-E132</x:f>
        <x:v>1192.5</x:v>
      </x:c>
      <x:c r="H132" s="10" t="n">
        <x:f>G132-F132</x:f>
        <x:v>747.3</x:v>
      </x:c>
      <x:c r="I132" s="17" t="n">
        <x:f>IF(D132=0,"n.a.",H132/D132)</x:f>
        <x:v>0.47</x:v>
      </x:c>
      <x:c r="J132" s="19" t="n">
        <x:f>Inputs!D132</x:f>
        <x:v>265</x:v>
      </x:c>
      <x:c r="K132" s="2"/>
      <x:c r="L132" s="2"/>
      <x:c r="M132" s="2"/>
      <x:c r="N132" s="2"/>
      <x:c r="O132" s="2"/>
      <x:c r="P132" s="2"/>
    </x:row>
    <x:row r="133" ht="22" customHeight="1">
      <x:c r="A133" s="18" t="n">
        <x:f>Inputs!A133</x:f>
        <x:v>45962</x:v>
      </x:c>
      <x:c r="B133" s="19" t="str">
        <x:f>Inputs!B133</x:f>
        <x:v>Delivery</x:v>
      </x:c>
      <x:c r="C133" s="19" t="str">
        <x:f>Inputs!C133</x:f>
        <x:v>Desserts</x:v>
      </x:c>
      <x:c r="D133" s="20" t="n">
        <x:f>ROUND(Inputs!D133*Inputs!E133,2)</x:f>
        <x:v>1364</x:v>
      </x:c>
      <x:c r="E133" s="20" t="n">
        <x:f>ROUND(Inputs!D133*Inputs!F133,2)</x:f>
        <x:v>434</x:v>
      </x:c>
      <x:c r="F133" s="10" t="n">
        <x:f>ROUND(D133*ROUND(Inputs!G133*10000,0)/100,0)/100</x:f>
        <x:v>381.92</x:v>
      </x:c>
      <x:c r="G133" s="10" t="n">
        <x:f>D133-E133</x:f>
        <x:v>930</x:v>
      </x:c>
      <x:c r="H133" s="10" t="n">
        <x:f>G133-F133</x:f>
        <x:v>548.0799999999999</x:v>
      </x:c>
      <x:c r="I133" s="17" t="n">
        <x:f>IF(D133=0,"n.a.",H133/D133)</x:f>
        <x:v>0.40181818181818174</x:v>
      </x:c>
      <x:c r="J133" s="19" t="n">
        <x:f>Inputs!D133</x:f>
        <x:v>124</x:v>
      </x:c>
      <x:c r="K133" s="2"/>
      <x:c r="L133" s="2"/>
      <x:c r="M133" s="2"/>
      <x:c r="N133" s="2"/>
      <x:c r="O133" s="2"/>
      <x:c r="P133" s="2"/>
    </x:row>
    <x:row r="134" ht="22" customHeight="1">
      <x:c r="A134" s="18" t="n">
        <x:f>Inputs!A134</x:f>
        <x:v>45992</x:v>
      </x:c>
      <x:c r="B134" s="19" t="str">
        <x:f>Inputs!B134</x:f>
        <x:v>Dine-in</x:v>
      </x:c>
      <x:c r="C134" s="19" t="str">
        <x:f>Inputs!C134</x:f>
        <x:v>Mains</x:v>
      </x:c>
      <x:c r="D134" s="20" t="n">
        <x:f>ROUND(Inputs!D134*Inputs!E134,2)</x:f>
        <x:v>12744</x:v>
      </x:c>
      <x:c r="E134" s="20" t="n">
        <x:f>ROUND(Inputs!D134*Inputs!F134,2)</x:f>
        <x:v>4248</x:v>
      </x:c>
      <x:c r="F134" s="10" t="n">
        <x:f>ROUND(D134*ROUND(Inputs!G134*10000,0)/100,0)/100</x:f>
        <x:v>191.16</x:v>
      </x:c>
      <x:c r="G134" s="10" t="n">
        <x:f>D134-E134</x:f>
        <x:v>8496</x:v>
      </x:c>
      <x:c r="H134" s="10" t="n">
        <x:f>G134-F134</x:f>
        <x:v>8304.84</x:v>
      </x:c>
      <x:c r="I134" s="17" t="n">
        <x:f>IF(D134=0,"n.a.",H134/D134)</x:f>
        <x:v>0.6516666666666667</x:v>
      </x:c>
      <x:c r="J134" s="19" t="n">
        <x:f>Inputs!D134</x:f>
        <x:v>531</x:v>
      </x:c>
      <x:c r="K134" s="2"/>
      <x:c r="L134" s="2"/>
      <x:c r="M134" s="2"/>
      <x:c r="N134" s="2"/>
      <x:c r="O134" s="2"/>
      <x:c r="P134" s="2"/>
    </x:row>
    <x:row r="135" ht="22" customHeight="1">
      <x:c r="A135" s="18" t="n">
        <x:f>Inputs!A135</x:f>
        <x:v>45992</x:v>
      </x:c>
      <x:c r="B135" s="19" t="str">
        <x:f>Inputs!B135</x:f>
        <x:v>Dine-in</x:v>
      </x:c>
      <x:c r="C135" s="19" t="str">
        <x:f>Inputs!C135</x:f>
        <x:v>Sides</x:v>
      </x:c>
      <x:c r="D135" s="20" t="n">
        <x:f>ROUND(Inputs!D135*Inputs!E135,2)</x:f>
        <x:v>2988</x:v>
      </x:c>
      <x:c r="E135" s="20" t="n">
        <x:f>ROUND(Inputs!D135*Inputs!F135,2)</x:f>
        <x:v>830</x:v>
      </x:c>
      <x:c r="F135" s="10" t="n">
        <x:f>ROUND(D135*ROUND(Inputs!G135*10000,0)/100,0)/100</x:f>
        <x:v>44.82</x:v>
      </x:c>
      <x:c r="G135" s="10" t="n">
        <x:f>D135-E135</x:f>
        <x:v>2158</x:v>
      </x:c>
      <x:c r="H135" s="10" t="n">
        <x:f>G135-F135</x:f>
        <x:v>2113.18</x:v>
      </x:c>
      <x:c r="I135" s="17" t="n">
        <x:f>IF(D135=0,"n.a.",H135/D135)</x:f>
        <x:v>0.7072222222222222</x:v>
      </x:c>
      <x:c r="J135" s="19" t="n">
        <x:f>Inputs!D135</x:f>
        <x:v>332</x:v>
      </x:c>
      <x:c r="K135" s="2"/>
      <x:c r="L135" s="2"/>
      <x:c r="M135" s="2"/>
      <x:c r="N135" s="2"/>
      <x:c r="O135" s="2"/>
      <x:c r="P135" s="2"/>
    </x:row>
    <x:row r="136" ht="22" customHeight="1">
      <x:c r="A136" s="18" t="n">
        <x:f>Inputs!A136</x:f>
        <x:v>45992</x:v>
      </x:c>
      <x:c r="B136" s="19" t="str">
        <x:f>Inputs!B136</x:f>
        <x:v>Dine-in</x:v>
      </x:c>
      <x:c r="C136" s="19" t="str">
        <x:f>Inputs!C136</x:f>
        <x:v>Drinks</x:v>
      </x:c>
      <x:c r="D136" s="20" t="n">
        <x:f>ROUND(Inputs!D136*Inputs!E136,2)</x:f>
        <x:v>2100</x:v>
      </x:c>
      <x:c r="E136" s="20" t="n">
        <x:f>ROUND(Inputs!D136*Inputs!F136,2)</x:f>
        <x:v>525</x:v>
      </x:c>
      <x:c r="F136" s="10" t="n">
        <x:f>ROUND(D136*ROUND(Inputs!G136*10000,0)/100,0)/100</x:f>
        <x:v>31.5</x:v>
      </x:c>
      <x:c r="G136" s="10" t="n">
        <x:f>D136-E136</x:f>
        <x:v>1575</x:v>
      </x:c>
      <x:c r="H136" s="10" t="n">
        <x:f>G136-F136</x:f>
        <x:v>1543.5</x:v>
      </x:c>
      <x:c r="I136" s="17" t="n">
        <x:f>IF(D136=0,"n.a.",H136/D136)</x:f>
        <x:v>0.735</x:v>
      </x:c>
      <x:c r="J136" s="19" t="n">
        <x:f>Inputs!D136</x:f>
        <x:v>350</x:v>
      </x:c>
      <x:c r="K136" s="2"/>
      <x:c r="L136" s="2"/>
      <x:c r="M136" s="2"/>
      <x:c r="N136" s="2"/>
      <x:c r="O136" s="2"/>
      <x:c r="P136" s="2"/>
    </x:row>
    <x:row r="137" ht="22" customHeight="1">
      <x:c r="A137" s="18" t="n">
        <x:f>Inputs!A137</x:f>
        <x:v>45992</x:v>
      </x:c>
      <x:c r="B137" s="19" t="str">
        <x:f>Inputs!B137</x:f>
        <x:v>Dine-in</x:v>
      </x:c>
      <x:c r="C137" s="19" t="str">
        <x:f>Inputs!C137</x:f>
        <x:v>Desserts</x:v>
      </x:c>
      <x:c r="D137" s="20" t="n">
        <x:f>ROUND(Inputs!D137*Inputs!E137,2)</x:f>
        <x:v>1980</x:v>
      </x:c>
      <x:c r="E137" s="20" t="n">
        <x:f>ROUND(Inputs!D137*Inputs!F137,2)</x:f>
        <x:v>630</x:v>
      </x:c>
      <x:c r="F137" s="10" t="n">
        <x:f>ROUND(D137*ROUND(Inputs!G137*10000,0)/100,0)/100</x:f>
        <x:v>29.7</x:v>
      </x:c>
      <x:c r="G137" s="10" t="n">
        <x:f>D137-E137</x:f>
        <x:v>1350</x:v>
      </x:c>
      <x:c r="H137" s="10" t="n">
        <x:f>G137-F137</x:f>
        <x:v>1320.3</x:v>
      </x:c>
      <x:c r="I137" s="17" t="n">
        <x:f>IF(D137=0,"n.a.",H137/D137)</x:f>
        <x:v>0.6668181818181818</x:v>
      </x:c>
      <x:c r="J137" s="19" t="n">
        <x:f>Inputs!D137</x:f>
        <x:v>180</x:v>
      </x:c>
      <x:c r="K137" s="2"/>
      <x:c r="L137" s="2"/>
      <x:c r="M137" s="2"/>
      <x:c r="N137" s="2"/>
      <x:c r="O137" s="2"/>
      <x:c r="P137" s="2"/>
    </x:row>
    <x:row r="138" ht="22" customHeight="1">
      <x:c r="A138" s="18" t="n">
        <x:f>Inputs!A138</x:f>
        <x:v>45992</x:v>
      </x:c>
      <x:c r="B138" s="19" t="str">
        <x:f>Inputs!B138</x:f>
        <x:v>Pickup</x:v>
      </x:c>
      <x:c r="C138" s="19" t="str">
        <x:f>Inputs!C138</x:f>
        <x:v>Mains</x:v>
      </x:c>
      <x:c r="D138" s="20" t="n">
        <x:f>ROUND(Inputs!D138*Inputs!E138,2)</x:f>
        <x:v>7392</x:v>
      </x:c>
      <x:c r="E138" s="20" t="n">
        <x:f>ROUND(Inputs!D138*Inputs!F138,2)</x:f>
        <x:v>2464</x:v>
      </x:c>
      <x:c r="F138" s="10" t="n">
        <x:f>ROUND(D138*ROUND(Inputs!G138*10000,0)/100,0)/100</x:f>
        <x:v>110.88</x:v>
      </x:c>
      <x:c r="G138" s="10" t="n">
        <x:f>D138-E138</x:f>
        <x:v>4928</x:v>
      </x:c>
      <x:c r="H138" s="10" t="n">
        <x:f>G138-F138</x:f>
        <x:v>4817.12</x:v>
      </x:c>
      <x:c r="I138" s="17" t="n">
        <x:f>IF(D138=0,"n.a.",H138/D138)</x:f>
        <x:v>0.6516666666666666</x:v>
      </x:c>
      <x:c r="J138" s="19" t="n">
        <x:f>Inputs!D138</x:f>
        <x:v>308</x:v>
      </x:c>
      <x:c r="K138" s="2"/>
      <x:c r="L138" s="2"/>
      <x:c r="M138" s="2"/>
      <x:c r="N138" s="2"/>
      <x:c r="O138" s="2"/>
      <x:c r="P138" s="2"/>
    </x:row>
    <x:row r="139" ht="22" customHeight="1">
      <x:c r="A139" s="18" t="n">
        <x:f>Inputs!A139</x:f>
        <x:v>45992</x:v>
      </x:c>
      <x:c r="B139" s="19" t="str">
        <x:f>Inputs!B139</x:f>
        <x:v>Pickup</x:v>
      </x:c>
      <x:c r="C139" s="19" t="str">
        <x:f>Inputs!C139</x:f>
        <x:v>Sides</x:v>
      </x:c>
      <x:c r="D139" s="20" t="n">
        <x:f>ROUND(Inputs!D139*Inputs!E139,2)</x:f>
        <x:v>1890</x:v>
      </x:c>
      <x:c r="E139" s="20" t="n">
        <x:f>ROUND(Inputs!D139*Inputs!F139,2)</x:f>
        <x:v>525</x:v>
      </x:c>
      <x:c r="F139" s="10" t="n">
        <x:f>ROUND(D139*ROUND(Inputs!G139*10000,0)/100,0)/100</x:f>
        <x:v>28.35</x:v>
      </x:c>
      <x:c r="G139" s="10" t="n">
        <x:f>D139-E139</x:f>
        <x:v>1365</x:v>
      </x:c>
      <x:c r="H139" s="10" t="n">
        <x:f>G139-F139</x:f>
        <x:v>1336.65</x:v>
      </x:c>
      <x:c r="I139" s="17" t="n">
        <x:f>IF(D139=0,"n.a.",H139/D139)</x:f>
        <x:v>0.7072222222222223</x:v>
      </x:c>
      <x:c r="J139" s="19" t="n">
        <x:f>Inputs!D139</x:f>
        <x:v>210</x:v>
      </x:c>
      <x:c r="K139" s="2"/>
      <x:c r="L139" s="2"/>
      <x:c r="M139" s="2"/>
      <x:c r="N139" s="2"/>
      <x:c r="O139" s="2"/>
      <x:c r="P139" s="2"/>
    </x:row>
    <x:row r="140" ht="22" customHeight="1">
      <x:c r="A140" s="18" t="n">
        <x:f>Inputs!A140</x:f>
        <x:v>45992</x:v>
      </x:c>
      <x:c r="B140" s="19" t="str">
        <x:f>Inputs!B140</x:f>
        <x:v>Pickup</x:v>
      </x:c>
      <x:c r="C140" s="19" t="str">
        <x:f>Inputs!C140</x:f>
        <x:v>Drinks</x:v>
      </x:c>
      <x:c r="D140" s="20" t="n">
        <x:f>ROUND(Inputs!D140*Inputs!E140,2)</x:f>
        <x:v>1506</x:v>
      </x:c>
      <x:c r="E140" s="20" t="n">
        <x:f>ROUND(Inputs!D140*Inputs!F140,2)</x:f>
        <x:v>376.5</x:v>
      </x:c>
      <x:c r="F140" s="10" t="n">
        <x:f>ROUND(D140*ROUND(Inputs!G140*10000,0)/100,0)/100</x:f>
        <x:v>22.59</x:v>
      </x:c>
      <x:c r="G140" s="10" t="n">
        <x:f>D140-E140</x:f>
        <x:v>1129.5</x:v>
      </x:c>
      <x:c r="H140" s="10" t="n">
        <x:f>G140-F140</x:f>
        <x:v>1106.91</x:v>
      </x:c>
      <x:c r="I140" s="17" t="n">
        <x:f>IF(D140=0,"n.a.",H140/D140)</x:f>
        <x:v>0.7350000000000001</x:v>
      </x:c>
      <x:c r="J140" s="19" t="n">
        <x:f>Inputs!D140</x:f>
        <x:v>251</x:v>
      </x:c>
      <x:c r="K140" s="2"/>
      <x:c r="L140" s="2"/>
      <x:c r="M140" s="2"/>
      <x:c r="N140" s="2"/>
      <x:c r="O140" s="2"/>
      <x:c r="P140" s="2"/>
    </x:row>
    <x:row r="141" ht="22" customHeight="1">
      <x:c r="A141" s="18" t="n">
        <x:f>Inputs!A141</x:f>
        <x:v>45992</x:v>
      </x:c>
      <x:c r="B141" s="19" t="str">
        <x:f>Inputs!B141</x:f>
        <x:v>Pickup</x:v>
      </x:c>
      <x:c r="C141" s="19" t="str">
        <x:f>Inputs!C141</x:f>
        <x:v>Desserts</x:v>
      </x:c>
      <x:c r="D141" s="20" t="n">
        <x:f>ROUND(Inputs!D141*Inputs!E141,2)</x:f>
        <x:v>1221</x:v>
      </x:c>
      <x:c r="E141" s="20" t="n">
        <x:f>ROUND(Inputs!D141*Inputs!F141,2)</x:f>
        <x:v>388.5</x:v>
      </x:c>
      <x:c r="F141" s="10" t="n">
        <x:f>ROUND(D141*ROUND(Inputs!G141*10000,0)/100,0)/100</x:f>
        <x:v>18.32</x:v>
      </x:c>
      <x:c r="G141" s="10" t="n">
        <x:f>D141-E141</x:f>
        <x:v>832.5</x:v>
      </x:c>
      <x:c r="H141" s="10" t="n">
        <x:f>G141-F141</x:f>
        <x:v>814.18</x:v>
      </x:c>
      <x:c r="I141" s="17" t="n">
        <x:f>IF(D141=0,"n.a.",H141/D141)</x:f>
        <x:v>0.6668140868140868</x:v>
      </x:c>
      <x:c r="J141" s="19" t="n">
        <x:f>Inputs!D141</x:f>
        <x:v>111</x:v>
      </x:c>
      <x:c r="K141" s="2"/>
      <x:c r="L141" s="2"/>
      <x:c r="M141" s="2"/>
      <x:c r="N141" s="2"/>
      <x:c r="O141" s="2"/>
      <x:c r="P141" s="2"/>
    </x:row>
    <x:row r="142" ht="22" customHeight="1">
      <x:c r="A142" s="18" t="n">
        <x:f>Inputs!A142</x:f>
        <x:v>45992</x:v>
      </x:c>
      <x:c r="B142" s="19" t="str">
        <x:f>Inputs!B142</x:f>
        <x:v>Delivery</x:v>
      </x:c>
      <x:c r="C142" s="19" t="str">
        <x:f>Inputs!C142</x:f>
        <x:v>Mains</x:v>
      </x:c>
      <x:c r="D142" s="20" t="n">
        <x:f>ROUND(Inputs!D142*Inputs!E142,2)</x:f>
        <x:v>9648</x:v>
      </x:c>
      <x:c r="E142" s="20" t="n">
        <x:f>ROUND(Inputs!D142*Inputs!F142,2)</x:f>
        <x:v>3216</x:v>
      </x:c>
      <x:c r="F142" s="10" t="n">
        <x:f>ROUND(D142*ROUND(Inputs!G142*10000,0)/100,0)/100</x:f>
        <x:v>2701.44</x:v>
      </x:c>
      <x:c r="G142" s="10" t="n">
        <x:f>D142-E142</x:f>
        <x:v>6432</x:v>
      </x:c>
      <x:c r="H142" s="10" t="n">
        <x:f>G142-F142</x:f>
        <x:v>3730.56</x:v>
      </x:c>
      <x:c r="I142" s="17" t="n">
        <x:f>IF(D142=0,"n.a.",H142/D142)</x:f>
        <x:v>0.38666666666666666</x:v>
      </x:c>
      <x:c r="J142" s="19" t="n">
        <x:f>Inputs!D142</x:f>
        <x:v>402</x:v>
      </x:c>
      <x:c r="K142" s="2"/>
      <x:c r="L142" s="2"/>
      <x:c r="M142" s="2"/>
      <x:c r="N142" s="2"/>
      <x:c r="O142" s="2"/>
      <x:c r="P142" s="2"/>
    </x:row>
    <x:row r="143" ht="22" customHeight="1">
      <x:c r="A143" s="18" t="n">
        <x:f>Inputs!A143</x:f>
        <x:v>45992</x:v>
      </x:c>
      <x:c r="B143" s="19" t="str">
        <x:f>Inputs!B143</x:f>
        <x:v>Delivery</x:v>
      </x:c>
      <x:c r="C143" s="19" t="str">
        <x:f>Inputs!C143</x:f>
        <x:v>Sides</x:v>
      </x:c>
      <x:c r="D143" s="20" t="n">
        <x:f>ROUND(Inputs!D143*Inputs!E143,2)</x:f>
        <x:v>2259</x:v>
      </x:c>
      <x:c r="E143" s="20" t="n">
        <x:f>ROUND(Inputs!D143*Inputs!F143,2)</x:f>
        <x:v>627.5</x:v>
      </x:c>
      <x:c r="F143" s="10" t="n">
        <x:f>ROUND(D143*ROUND(Inputs!G143*10000,0)/100,0)/100</x:f>
        <x:v>632.52</x:v>
      </x:c>
      <x:c r="G143" s="10" t="n">
        <x:f>D143-E143</x:f>
        <x:v>1631.5</x:v>
      </x:c>
      <x:c r="H143" s="10" t="n">
        <x:f>G143-F143</x:f>
        <x:v>998.98</x:v>
      </x:c>
      <x:c r="I143" s="17" t="n">
        <x:f>IF(D143=0,"n.a.",H143/D143)</x:f>
        <x:v>0.44222222222222224</x:v>
      </x:c>
      <x:c r="J143" s="19" t="n">
        <x:f>Inputs!D143</x:f>
        <x:v>251</x:v>
      </x:c>
      <x:c r="K143" s="2"/>
      <x:c r="L143" s="2"/>
      <x:c r="M143" s="2"/>
      <x:c r="N143" s="2"/>
      <x:c r="O143" s="2"/>
      <x:c r="P143" s="2"/>
    </x:row>
    <x:row r="144" ht="22" customHeight="1">
      <x:c r="A144" s="18" t="n">
        <x:f>Inputs!A144</x:f>
        <x:v>45992</x:v>
      </x:c>
      <x:c r="B144" s="19" t="str">
        <x:f>Inputs!B144</x:f>
        <x:v>Delivery</x:v>
      </x:c>
      <x:c r="C144" s="19" t="str">
        <x:f>Inputs!C144</x:f>
        <x:v>Drinks</x:v>
      </x:c>
      <x:c r="D144" s="20" t="n">
        <x:f>ROUND(Inputs!D144*Inputs!E144,2)</x:f>
        <x:v>1728</x:v>
      </x:c>
      <x:c r="E144" s="20" t="n">
        <x:f>ROUND(Inputs!D144*Inputs!F144,2)</x:f>
        <x:v>432</x:v>
      </x:c>
      <x:c r="F144" s="10" t="n">
        <x:f>ROUND(D144*ROUND(Inputs!G144*10000,0)/100,0)/100</x:f>
        <x:v>483.84</x:v>
      </x:c>
      <x:c r="G144" s="10" t="n">
        <x:f>D144-E144</x:f>
        <x:v>1296</x:v>
      </x:c>
      <x:c r="H144" s="10" t="n">
        <x:f>G144-F144</x:f>
        <x:v>812.1600000000001</x:v>
      </x:c>
      <x:c r="I144" s="17" t="n">
        <x:f>IF(D144=0,"n.a.",H144/D144)</x:f>
        <x:v>0.47000000000000003</x:v>
      </x:c>
      <x:c r="J144" s="19" t="n">
        <x:f>Inputs!D144</x:f>
        <x:v>288</x:v>
      </x:c>
      <x:c r="K144" s="2"/>
      <x:c r="L144" s="2"/>
      <x:c r="M144" s="2"/>
      <x:c r="N144" s="2"/>
      <x:c r="O144" s="2"/>
      <x:c r="P144" s="2"/>
    </x:row>
    <x:row r="145" ht="22" customHeight="1">
      <x:c r="A145" s="18" t="n">
        <x:f>Inputs!A145</x:f>
        <x:v>45992</x:v>
      </x:c>
      <x:c r="B145" s="19" t="str">
        <x:f>Inputs!B145</x:f>
        <x:v>Delivery</x:v>
      </x:c>
      <x:c r="C145" s="19" t="str">
        <x:f>Inputs!C145</x:f>
        <x:v>Desserts</x:v>
      </x:c>
      <x:c r="D145" s="20" t="n">
        <x:f>ROUND(Inputs!D145*Inputs!E145,2)</x:f>
        <x:v>1672</x:v>
      </x:c>
      <x:c r="E145" s="20" t="n">
        <x:f>ROUND(Inputs!D145*Inputs!F145,2)</x:f>
        <x:v>532</x:v>
      </x:c>
      <x:c r="F145" s="10" t="n">
        <x:f>ROUND(D145*ROUND(Inputs!G145*10000,0)/100,0)/100</x:f>
        <x:v>468.16</x:v>
      </x:c>
      <x:c r="G145" s="10" t="n">
        <x:f>D145-E145</x:f>
        <x:v>1140</x:v>
      </x:c>
      <x:c r="H145" s="10" t="n">
        <x:f>G145-F145</x:f>
        <x:v>671.8399999999999</x:v>
      </x:c>
      <x:c r="I145" s="17" t="n">
        <x:f>IF(D145=0,"n.a.",H145/D145)</x:f>
        <x:v>0.4018181818181818</x:v>
      </x:c>
      <x:c r="J145" s="19" t="n">
        <x:f>Inputs!D145</x:f>
        <x:v>152</x:v>
      </x:c>
      <x:c r="K145" s="2"/>
      <x:c r="L145" s="2"/>
      <x:c r="M145" s="2"/>
      <x:c r="N145" s="2"/>
      <x:c r="O145" s="2"/>
      <x:c r="P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</x:sheetData>
  <x:pageMargins left="0.7" right="0.7" top="0.75" bottom="0.75" header="0.3" footer="0.3"/>
  <x:tableParts count="1">
    <x:tablePart xmlns:r="http://schemas.openxmlformats.org/officeDocument/2006/relationships" r:id="R1c547165fe9242e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9" hidden="0" customWidth="1"/>
    <x:col min="10" max="10" width="19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6" customHeight="1">
      <x:c r="A1" s="16" t="str">
        <x:v>Month</x:v>
      </x:c>
      <x:c r="B1" s="16" t="str">
        <x:v>Channel</x:v>
      </x:c>
      <x:c r="C1" s="16" t="str">
        <x:v>Category</x:v>
      </x:c>
      <x:c r="D1" s="16" t="str">
        <x:v>Units</x:v>
      </x:c>
      <x:c r="E1" s="16" t="str">
        <x:v>Unit price</x:v>
      </x:c>
      <x:c r="F1" s="16" t="str">
        <x:v>Unit food cost</x:v>
      </x:c>
      <x:c r="G1" s="16" t="str">
        <x:v>Fee rate</x:v>
      </x:c>
      <x:c r="H1" s="2"/>
      <x:c r="I1" s="16" t="str">
        <x:v>Month</x:v>
      </x:c>
      <x:c r="J1" s="16" t="str">
        <x:v>Overhead (NZD)</x:v>
      </x:c>
      <x:c r="K1" s="2"/>
      <x:c r="L1" s="2"/>
      <x:c r="M1" s="2"/>
      <x:c r="N1" s="2"/>
      <x:c r="O1" s="2"/>
      <x:c r="P1" s="2"/>
    </x:row>
    <x:row r="2" ht="22" customHeight="1">
      <x:c r="A2" s="3" t="d">
        <x:v>2025-01-01T00:00:00.000Z</x:v>
      </x:c>
      <x:c r="B2" s="2" t="str">
        <x:v>Dine-in</x:v>
      </x:c>
      <x:c r="C2" s="2" t="str">
        <x:v>Mains</x:v>
      </x:c>
      <x:c r="D2" s="7" t="n">
        <x:v>492</x:v>
      </x:c>
      <x:c r="E2" s="8" t="n">
        <x:v>24</x:v>
      </x:c>
      <x:c r="F2" s="8" t="n">
        <x:v>8</x:v>
      </x:c>
      <x:c r="G2" s="9" t="n">
        <x:v>0.015</x:v>
      </x:c>
      <x:c r="H2" s="2"/>
      <x:c r="I2" s="3" t="d">
        <x:v>2025-01-01T00:00:00.000Z</x:v>
      </x:c>
      <x:c r="J2" s="12" t="n">
        <x:v>29500</x:v>
      </x:c>
      <x:c r="K2" s="2"/>
      <x:c r="L2" s="2" t="str">
        <x:v>Synthetic CY2025 inputs. NZD, GST exclusive.</x:v>
      </x:c>
      <x:c r="M2" s="2"/>
      <x:c r="N2" s="2"/>
      <x:c r="O2" s="2"/>
      <x:c r="P2" s="2"/>
    </x:row>
    <x:row r="3" ht="22" customHeight="1">
      <x:c r="A3" s="3" t="d">
        <x:v>2025-01-01T00:00:00.000Z</x:v>
      </x:c>
      <x:c r="B3" s="2" t="str">
        <x:v>Dine-in</x:v>
      </x:c>
      <x:c r="C3" s="2" t="str">
        <x:v>Sides</x:v>
      </x:c>
      <x:c r="D3" s="7" t="n">
        <x:v>279</x:v>
      </x:c>
      <x:c r="E3" s="8" t="n">
        <x:v>9</x:v>
      </x:c>
      <x:c r="F3" s="8" t="n">
        <x:v>2.5</x:v>
      </x:c>
      <x:c r="G3" s="9" t="n">
        <x:v>0.015</x:v>
      </x:c>
      <x:c r="H3" s="2"/>
      <x:c r="I3" s="3" t="d">
        <x:v>2025-02-01T00:00:00.000Z</x:v>
      </x:c>
      <x:c r="J3" s="12" t="n">
        <x:v>29500</x:v>
      </x:c>
      <x:c r="K3" s="2"/>
      <x:c r="L3" s="2"/>
      <x:c r="M3" s="2"/>
      <x:c r="N3" s="2"/>
      <x:c r="O3" s="2"/>
      <x:c r="P3" s="2"/>
    </x:row>
    <x:row r="4" ht="22" customHeight="1">
      <x:c r="A4" s="3" t="d">
        <x:v>2025-01-01T00:00:00.000Z</x:v>
      </x:c>
      <x:c r="B4" s="2" t="str">
        <x:v>Dine-in</x:v>
      </x:c>
      <x:c r="C4" s="2" t="str">
        <x:v>Drinks</x:v>
      </x:c>
      <x:c r="D4" s="7" t="n">
        <x:v>345</x:v>
      </x:c>
      <x:c r="E4" s="8" t="n">
        <x:v>6</x:v>
      </x:c>
      <x:c r="F4" s="8" t="n">
        <x:v>1.5</x:v>
      </x:c>
      <x:c r="G4" s="9" t="n">
        <x:v>0.015</x:v>
      </x:c>
      <x:c r="H4" s="2"/>
      <x:c r="I4" s="3" t="d">
        <x:v>2025-03-01T00:00:00.000Z</x:v>
      </x:c>
      <x:c r="J4" s="12" t="n">
        <x:v>29500</x:v>
      </x:c>
      <x:c r="K4" s="2"/>
      <x:c r="L4" s="2" t="str">
        <x:v>Source: scripts/build_portfolio.py, fixed random seed 42.</x:v>
      </x:c>
      <x:c r="M4" s="2"/>
      <x:c r="N4" s="2"/>
      <x:c r="O4" s="2"/>
      <x:c r="P4" s="2"/>
    </x:row>
    <x:row r="5" ht="22" customHeight="1">
      <x:c r="A5" s="3" t="d">
        <x:v>2025-01-01T00:00:00.000Z</x:v>
      </x:c>
      <x:c r="B5" s="2" t="str">
        <x:v>Dine-in</x:v>
      </x:c>
      <x:c r="C5" s="2" t="str">
        <x:v>Desserts</x:v>
      </x:c>
      <x:c r="D5" s="7" t="n">
        <x:v>166</x:v>
      </x:c>
      <x:c r="E5" s="8" t="n">
        <x:v>11</x:v>
      </x:c>
      <x:c r="F5" s="8" t="n">
        <x:v>3.5</x:v>
      </x:c>
      <x:c r="G5" s="9" t="n">
        <x:v>0.015</x:v>
      </x:c>
      <x:c r="H5" s="2"/>
      <x:c r="I5" s="3" t="d">
        <x:v>2025-04-01T00:00:00.000Z</x:v>
      </x:c>
      <x:c r="J5" s="12" t="n">
        <x:v>29500</x:v>
      </x:c>
      <x:c r="K5" s="2"/>
      <x:c r="L5" s="2"/>
      <x:c r="M5" s="2"/>
      <x:c r="N5" s="2"/>
      <x:c r="O5" s="2"/>
      <x:c r="P5" s="2"/>
    </x:row>
    <x:row r="6" ht="22" customHeight="1">
      <x:c r="A6" s="3" t="d">
        <x:v>2025-01-01T00:00:00.000Z</x:v>
      </x:c>
      <x:c r="B6" s="2" t="str">
        <x:v>Pickup</x:v>
      </x:c>
      <x:c r="C6" s="2" t="str">
        <x:v>Mains</x:v>
      </x:c>
      <x:c r="D6" s="7" t="n">
        <x:v>324</x:v>
      </x:c>
      <x:c r="E6" s="8" t="n">
        <x:v>24</x:v>
      </x:c>
      <x:c r="F6" s="8" t="n">
        <x:v>8</x:v>
      </x:c>
      <x:c r="G6" s="9" t="n">
        <x:v>0.015</x:v>
      </x:c>
      <x:c r="H6" s="2"/>
      <x:c r="I6" s="3" t="d">
        <x:v>2025-05-01T00:00:00.000Z</x:v>
      </x:c>
      <x:c r="J6" s="12" t="n">
        <x:v>29500</x:v>
      </x:c>
      <x:c r="K6" s="2"/>
      <x:c r="L6" s="2" t="str">
        <x:v>Blue/amber cells are editable numeric inputs.</x:v>
      </x:c>
      <x:c r="M6" s="2"/>
      <x:c r="N6" s="2"/>
      <x:c r="O6" s="2"/>
      <x:c r="P6" s="2"/>
    </x:row>
    <x:row r="7" ht="22" customHeight="1">
      <x:c r="A7" s="3" t="d">
        <x:v>2025-01-01T00:00:00.000Z</x:v>
      </x:c>
      <x:c r="B7" s="2" t="str">
        <x:v>Pickup</x:v>
      </x:c>
      <x:c r="C7" s="2" t="str">
        <x:v>Sides</x:v>
      </x:c>
      <x:c r="D7" s="7" t="n">
        <x:v>199</x:v>
      </x:c>
      <x:c r="E7" s="8" t="n">
        <x:v>9</x:v>
      </x:c>
      <x:c r="F7" s="8" t="n">
        <x:v>2.5</x:v>
      </x:c>
      <x:c r="G7" s="9" t="n">
        <x:v>0.015</x:v>
      </x:c>
      <x:c r="H7" s="2"/>
      <x:c r="I7" s="3" t="d">
        <x:v>2025-06-01T00:00:00.000Z</x:v>
      </x:c>
      <x:c r="J7" s="12" t="n">
        <x:v>29500</x:v>
      </x:c>
      <x:c r="K7" s="2"/>
      <x:c r="L7" s="2"/>
      <x:c r="M7" s="2"/>
      <x:c r="N7" s="2"/>
      <x:c r="O7" s="2"/>
      <x:c r="P7" s="2"/>
    </x:row>
    <x:row r="8" ht="22" customHeight="1">
      <x:c r="A8" s="3" t="d">
        <x:v>2025-01-01T00:00:00.000Z</x:v>
      </x:c>
      <x:c r="B8" s="2" t="str">
        <x:v>Pickup</x:v>
      </x:c>
      <x:c r="C8" s="2" t="str">
        <x:v>Drinks</x:v>
      </x:c>
      <x:c r="D8" s="7" t="n">
        <x:v>244</x:v>
      </x:c>
      <x:c r="E8" s="8" t="n">
        <x:v>6</x:v>
      </x:c>
      <x:c r="F8" s="8" t="n">
        <x:v>1.5</x:v>
      </x:c>
      <x:c r="G8" s="9" t="n">
        <x:v>0.015</x:v>
      </x:c>
      <x:c r="H8" s="2"/>
      <x:c r="I8" s="3" t="d">
        <x:v>2025-07-01T00:00:00.000Z</x:v>
      </x:c>
      <x:c r="J8" s="12" t="n">
        <x:v>29500</x:v>
      </x:c>
      <x:c r="K8" s="2"/>
      <x:c r="L8" s="2" t="str">
        <x:v>Overhead includes assumed wages, rent, utilities and other opex.</x:v>
      </x:c>
      <x:c r="M8" s="2"/>
      <x:c r="N8" s="2"/>
      <x:c r="O8" s="2"/>
      <x:c r="P8" s="2"/>
    </x:row>
    <x:row r="9" ht="22" customHeight="1">
      <x:c r="A9" s="3" t="d">
        <x:v>2025-01-01T00:00:00.000Z</x:v>
      </x:c>
      <x:c r="B9" s="2" t="str">
        <x:v>Pickup</x:v>
      </x:c>
      <x:c r="C9" s="2" t="str">
        <x:v>Desserts</x:v>
      </x:c>
      <x:c r="D9" s="7" t="n">
        <x:v>106</x:v>
      </x:c>
      <x:c r="E9" s="8" t="n">
        <x:v>11</x:v>
      </x:c>
      <x:c r="F9" s="8" t="n">
        <x:v>3.5</x:v>
      </x:c>
      <x:c r="G9" s="9" t="n">
        <x:v>0.015</x:v>
      </x:c>
      <x:c r="H9" s="2"/>
      <x:c r="I9" s="3" t="d">
        <x:v>2025-08-01T00:00:00.000Z</x:v>
      </x:c>
      <x:c r="J9" s="12" t="n">
        <x:v>29500</x:v>
      </x:c>
      <x:c r="K9" s="2"/>
      <x:c r="L9" s="2"/>
      <x:c r="M9" s="2"/>
      <x:c r="N9" s="2"/>
      <x:c r="O9" s="2"/>
      <x:c r="P9" s="2"/>
    </x:row>
    <x:row r="10" ht="22" customHeight="1">
      <x:c r="A10" s="3" t="d">
        <x:v>2025-01-01T00:00:00.000Z</x:v>
      </x:c>
      <x:c r="B10" s="2" t="str">
        <x:v>Delivery</x:v>
      </x:c>
      <x:c r="C10" s="2" t="str">
        <x:v>Mains</x:v>
      </x:c>
      <x:c r="D10" s="7" t="n">
        <x:v>382</x:v>
      </x:c>
      <x:c r="E10" s="8" t="n">
        <x:v>24</x:v>
      </x:c>
      <x:c r="F10" s="8" t="n">
        <x:v>8</x:v>
      </x:c>
      <x:c r="G10" s="9" t="n">
        <x:v>0.28</x:v>
      </x:c>
      <x:c r="H10" s="2"/>
      <x:c r="I10" s="3" t="d">
        <x:v>2025-09-01T00:00:00.000Z</x:v>
      </x:c>
      <x:c r="J10" s="12" t="n">
        <x:v>29500</x:v>
      </x:c>
      <x:c r="K10" s="2"/>
      <x:c r="L10" s="2" t="str">
        <x:v>Rates are illustrative, not supplier quotes.</x:v>
      </x:c>
      <x:c r="M10" s="2"/>
      <x:c r="N10" s="2"/>
      <x:c r="O10" s="2"/>
      <x:c r="P10" s="2"/>
    </x:row>
    <x:row r="11" ht="22" customHeight="1">
      <x:c r="A11" s="3" t="d">
        <x:v>2025-01-01T00:00:00.000Z</x:v>
      </x:c>
      <x:c r="B11" s="2" t="str">
        <x:v>Delivery</x:v>
      </x:c>
      <x:c r="C11" s="2" t="str">
        <x:v>Sides</x:v>
      </x:c>
      <x:c r="D11" s="7" t="n">
        <x:v>223</x:v>
      </x:c>
      <x:c r="E11" s="8" t="n">
        <x:v>9</x:v>
      </x:c>
      <x:c r="F11" s="8" t="n">
        <x:v>2.5</x:v>
      </x:c>
      <x:c r="G11" s="9" t="n">
        <x:v>0.28</x:v>
      </x:c>
      <x:c r="H11" s="2"/>
      <x:c r="I11" s="3" t="d">
        <x:v>2025-10-01T00:00:00.000Z</x:v>
      </x:c>
      <x:c r="J11" s="12" t="n">
        <x:v>29500</x:v>
      </x:c>
      <x:c r="K11" s="2"/>
      <x:c r="L11" s="2"/>
      <x:c r="M11" s="2"/>
      <x:c r="N11" s="2"/>
      <x:c r="O11" s="2"/>
      <x:c r="P11" s="2"/>
    </x:row>
    <x:row r="12" ht="22" customHeight="1">
      <x:c r="A12" s="3" t="d">
        <x:v>2025-01-01T00:00:00.000Z</x:v>
      </x:c>
      <x:c r="B12" s="2" t="str">
        <x:v>Delivery</x:v>
      </x:c>
      <x:c r="C12" s="2" t="str">
        <x:v>Drinks</x:v>
      </x:c>
      <x:c r="D12" s="7" t="n">
        <x:v>274</x:v>
      </x:c>
      <x:c r="E12" s="8" t="n">
        <x:v>6</x:v>
      </x:c>
      <x:c r="F12" s="8" t="n">
        <x:v>1.5</x:v>
      </x:c>
      <x:c r="G12" s="9" t="n">
        <x:v>0.28</x:v>
      </x:c>
      <x:c r="H12" s="2"/>
      <x:c r="I12" s="3" t="d">
        <x:v>2025-11-01T00:00:00.000Z</x:v>
      </x:c>
      <x:c r="J12" s="12" t="n">
        <x:v>31000</x:v>
      </x:c>
      <x:c r="K12" s="2"/>
      <x:c r="L12" s="2"/>
      <x:c r="M12" s="2"/>
      <x:c r="N12" s="2"/>
      <x:c r="O12" s="2"/>
      <x:c r="P12" s="2"/>
    </x:row>
    <x:row r="13" ht="22" customHeight="1">
      <x:c r="A13" s="3" t="d">
        <x:v>2025-01-01T00:00:00.000Z</x:v>
      </x:c>
      <x:c r="B13" s="2" t="str">
        <x:v>Delivery</x:v>
      </x:c>
      <x:c r="C13" s="2" t="str">
        <x:v>Desserts</x:v>
      </x:c>
      <x:c r="D13" s="7" t="n">
        <x:v>138</x:v>
      </x:c>
      <x:c r="E13" s="8" t="n">
        <x:v>11</x:v>
      </x:c>
      <x:c r="F13" s="8" t="n">
        <x:v>3.5</x:v>
      </x:c>
      <x:c r="G13" s="9" t="n">
        <x:v>0.28</x:v>
      </x:c>
      <x:c r="H13" s="2"/>
      <x:c r="I13" s="3" t="d">
        <x:v>2025-12-01T00:00:00.000Z</x:v>
      </x:c>
      <x:c r="J13" s="12" t="n">
        <x:v>31000</x:v>
      </x:c>
      <x:c r="K13" s="2"/>
      <x:c r="L13" s="2"/>
      <x:c r="M13" s="2"/>
      <x:c r="N13" s="2"/>
      <x:c r="O13" s="2"/>
      <x:c r="P13" s="2"/>
    </x:row>
    <x:row r="14" ht="22" customHeight="1">
      <x:c r="A14" s="3" t="d">
        <x:v>2025-02-01T00:00:00.000Z</x:v>
      </x:c>
      <x:c r="B14" s="2" t="str">
        <x:v>Dine-in</x:v>
      </x:c>
      <x:c r="C14" s="2" t="str">
        <x:v>Mains</x:v>
      </x:c>
      <x:c r="D14" s="7" t="n">
        <x:v>431</x:v>
      </x:c>
      <x:c r="E14" s="8" t="n">
        <x:v>24</x:v>
      </x:c>
      <x:c r="F14" s="8" t="n">
        <x:v>8</x:v>
      </x:c>
      <x:c r="G14" s="9" t="n">
        <x:v>0.015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2" customHeight="1">
      <x:c r="A15" s="3" t="d">
        <x:v>2025-02-01T00:00:00.000Z</x:v>
      </x:c>
      <x:c r="B15" s="2" t="str">
        <x:v>Dine-in</x:v>
      </x:c>
      <x:c r="C15" s="2" t="str">
        <x:v>Sides</x:v>
      </x:c>
      <x:c r="D15" s="7" t="n">
        <x:v>274</x:v>
      </x:c>
      <x:c r="E15" s="8" t="n">
        <x:v>9</x:v>
      </x:c>
      <x:c r="F15" s="8" t="n">
        <x:v>2.5</x:v>
      </x:c>
      <x:c r="G15" s="9" t="n">
        <x:v>0.015</x:v>
      </x:c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2" customHeight="1">
      <x:c r="A16" s="3" t="d">
        <x:v>2025-02-01T00:00:00.000Z</x:v>
      </x:c>
      <x:c r="B16" s="2" t="str">
        <x:v>Dine-in</x:v>
      </x:c>
      <x:c r="C16" s="2" t="str">
        <x:v>Drinks</x:v>
      </x:c>
      <x:c r="D16" s="7" t="n">
        <x:v>348</x:v>
      </x:c>
      <x:c r="E16" s="8" t="n">
        <x:v>6</x:v>
      </x:c>
      <x:c r="F16" s="8" t="n">
        <x:v>1.5</x:v>
      </x:c>
      <x:c r="G16" s="9" t="n">
        <x:v>0.015</x:v>
      </x:c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3" t="d">
        <x:v>2025-02-01T00:00:00.000Z</x:v>
      </x:c>
      <x:c r="B17" s="2" t="str">
        <x:v>Dine-in</x:v>
      </x:c>
      <x:c r="C17" s="2" t="str">
        <x:v>Desserts</x:v>
      </x:c>
      <x:c r="D17" s="7" t="n">
        <x:v>166</x:v>
      </x:c>
      <x:c r="E17" s="8" t="n">
        <x:v>11</x:v>
      </x:c>
      <x:c r="F17" s="8" t="n">
        <x:v>3.5</x:v>
      </x:c>
      <x:c r="G17" s="9" t="n">
        <x:v>0.015</x:v>
      </x:c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3" t="d">
        <x:v>2025-02-01T00:00:00.000Z</x:v>
      </x:c>
      <x:c r="B18" s="2" t="str">
        <x:v>Pickup</x:v>
      </x:c>
      <x:c r="C18" s="2" t="str">
        <x:v>Mains</x:v>
      </x:c>
      <x:c r="D18" s="7" t="n">
        <x:v>289</x:v>
      </x:c>
      <x:c r="E18" s="8" t="n">
        <x:v>24</x:v>
      </x:c>
      <x:c r="F18" s="8" t="n">
        <x:v>8</x:v>
      </x:c>
      <x:c r="G18" s="9" t="n">
        <x:v>0.015</x:v>
      </x:c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2" customHeight="1">
      <x:c r="A19" s="3" t="d">
        <x:v>2025-02-01T00:00:00.000Z</x:v>
      </x:c>
      <x:c r="B19" s="2" t="str">
        <x:v>Pickup</x:v>
      </x:c>
      <x:c r="C19" s="2" t="str">
        <x:v>Sides</x:v>
      </x:c>
      <x:c r="D19" s="7" t="n">
        <x:v>188</x:v>
      </x:c>
      <x:c r="E19" s="8" t="n">
        <x:v>9</x:v>
      </x:c>
      <x:c r="F19" s="8" t="n">
        <x:v>2.5</x:v>
      </x:c>
      <x:c r="G19" s="9" t="n">
        <x:v>0.015</x:v>
      </x:c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2" customHeight="1">
      <x:c r="A20" s="3" t="d">
        <x:v>2025-02-01T00:00:00.000Z</x:v>
      </x:c>
      <x:c r="B20" s="2" t="str">
        <x:v>Pickup</x:v>
      </x:c>
      <x:c r="C20" s="2" t="str">
        <x:v>Drinks</x:v>
      </x:c>
      <x:c r="D20" s="7" t="n">
        <x:v>231</x:v>
      </x:c>
      <x:c r="E20" s="8" t="n">
        <x:v>6</x:v>
      </x:c>
      <x:c r="F20" s="8" t="n">
        <x:v>1.5</x:v>
      </x:c>
      <x:c r="G20" s="9" t="n">
        <x:v>0.015</x:v>
      </x:c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3" t="d">
        <x:v>2025-02-01T00:00:00.000Z</x:v>
      </x:c>
      <x:c r="B21" s="2" t="str">
        <x:v>Pickup</x:v>
      </x:c>
      <x:c r="C21" s="2" t="str">
        <x:v>Desserts</x:v>
      </x:c>
      <x:c r="D21" s="7" t="n">
        <x:v>100</x:v>
      </x:c>
      <x:c r="E21" s="8" t="n">
        <x:v>11</x:v>
      </x:c>
      <x:c r="F21" s="8" t="n">
        <x:v>3.5</x:v>
      </x:c>
      <x:c r="G21" s="9" t="n">
        <x:v>0.015</x:v>
      </x:c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3" t="d">
        <x:v>2025-02-01T00:00:00.000Z</x:v>
      </x:c>
      <x:c r="B22" s="2" t="str">
        <x:v>Delivery</x:v>
      </x:c>
      <x:c r="C22" s="2" t="str">
        <x:v>Mains</x:v>
      </x:c>
      <x:c r="D22" s="7" t="n">
        <x:v>385</x:v>
      </x:c>
      <x:c r="E22" s="8" t="n">
        <x:v>24</x:v>
      </x:c>
      <x:c r="F22" s="8" t="n">
        <x:v>8</x:v>
      </x:c>
      <x:c r="G22" s="9" t="n">
        <x:v>0.28</x:v>
      </x:c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3" t="d">
        <x:v>2025-02-01T00:00:00.000Z</x:v>
      </x:c>
      <x:c r="B23" s="2" t="str">
        <x:v>Delivery</x:v>
      </x:c>
      <x:c r="C23" s="2" t="str">
        <x:v>Sides</x:v>
      </x:c>
      <x:c r="D23" s="7" t="n">
        <x:v>235</x:v>
      </x:c>
      <x:c r="E23" s="8" t="n">
        <x:v>9</x:v>
      </x:c>
      <x:c r="F23" s="8" t="n">
        <x:v>2.5</x:v>
      </x:c>
      <x:c r="G23" s="9" t="n">
        <x:v>0.28</x:v>
      </x:c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3" t="d">
        <x:v>2025-02-01T00:00:00.000Z</x:v>
      </x:c>
      <x:c r="B24" s="2" t="str">
        <x:v>Delivery</x:v>
      </x:c>
      <x:c r="C24" s="2" t="str">
        <x:v>Drinks</x:v>
      </x:c>
      <x:c r="D24" s="7" t="n">
        <x:v>267</x:v>
      </x:c>
      <x:c r="E24" s="8" t="n">
        <x:v>6</x:v>
      </x:c>
      <x:c r="F24" s="8" t="n">
        <x:v>1.5</x:v>
      </x:c>
      <x:c r="G24" s="9" t="n">
        <x:v>0.28</x:v>
      </x:c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3" t="d">
        <x:v>2025-02-01T00:00:00.000Z</x:v>
      </x:c>
      <x:c r="B25" s="2" t="str">
        <x:v>Delivery</x:v>
      </x:c>
      <x:c r="C25" s="2" t="str">
        <x:v>Desserts</x:v>
      </x:c>
      <x:c r="D25" s="7" t="n">
        <x:v>126</x:v>
      </x:c>
      <x:c r="E25" s="8" t="n">
        <x:v>11</x:v>
      </x:c>
      <x:c r="F25" s="8" t="n">
        <x:v>3.5</x:v>
      </x:c>
      <x:c r="G25" s="9" t="n">
        <x:v>0.28</x:v>
      </x:c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3" t="d">
        <x:v>2025-03-01T00:00:00.000Z</x:v>
      </x:c>
      <x:c r="B26" s="2" t="str">
        <x:v>Dine-in</x:v>
      </x:c>
      <x:c r="C26" s="2" t="str">
        <x:v>Mains</x:v>
      </x:c>
      <x:c r="D26" s="7" t="n">
        <x:v>456</x:v>
      </x:c>
      <x:c r="E26" s="8" t="n">
        <x:v>24</x:v>
      </x:c>
      <x:c r="F26" s="8" t="n">
        <x:v>8</x:v>
      </x:c>
      <x:c r="G26" s="9" t="n">
        <x:v>0.015</x:v>
      </x:c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3" t="d">
        <x:v>2025-03-01T00:00:00.000Z</x:v>
      </x:c>
      <x:c r="B27" s="2" t="str">
        <x:v>Dine-in</x:v>
      </x:c>
      <x:c r="C27" s="2" t="str">
        <x:v>Sides</x:v>
      </x:c>
      <x:c r="D27" s="7" t="n">
        <x:v>259</x:v>
      </x:c>
      <x:c r="E27" s="8" t="n">
        <x:v>9</x:v>
      </x:c>
      <x:c r="F27" s="8" t="n">
        <x:v>2.5</x:v>
      </x:c>
      <x:c r="G27" s="9" t="n">
        <x:v>0.015</x:v>
      </x:c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3" t="d">
        <x:v>2025-03-01T00:00:00.000Z</x:v>
      </x:c>
      <x:c r="B28" s="2" t="str">
        <x:v>Dine-in</x:v>
      </x:c>
      <x:c r="C28" s="2" t="str">
        <x:v>Drinks</x:v>
      </x:c>
      <x:c r="D28" s="7" t="n">
        <x:v>298</x:v>
      </x:c>
      <x:c r="E28" s="8" t="n">
        <x:v>6</x:v>
      </x:c>
      <x:c r="F28" s="8" t="n">
        <x:v>1.5</x:v>
      </x:c>
      <x:c r="G28" s="9" t="n">
        <x:v>0.015</x:v>
      </x:c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3" t="d">
        <x:v>2025-03-01T00:00:00.000Z</x:v>
      </x:c>
      <x:c r="B29" s="2" t="str">
        <x:v>Dine-in</x:v>
      </x:c>
      <x:c r="C29" s="2" t="str">
        <x:v>Desserts</x:v>
      </x:c>
      <x:c r="D29" s="7" t="n">
        <x:v>144</x:v>
      </x:c>
      <x:c r="E29" s="8" t="n">
        <x:v>11</x:v>
      </x:c>
      <x:c r="F29" s="8" t="n">
        <x:v>3.5</x:v>
      </x:c>
      <x:c r="G29" s="9" t="n">
        <x:v>0.015</x:v>
      </x:c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3" t="d">
        <x:v>2025-03-01T00:00:00.000Z</x:v>
      </x:c>
      <x:c r="B30" s="2" t="str">
        <x:v>Pickup</x:v>
      </x:c>
      <x:c r="C30" s="2" t="str">
        <x:v>Mains</x:v>
      </x:c>
      <x:c r="D30" s="7" t="n">
        <x:v>292</x:v>
      </x:c>
      <x:c r="E30" s="8" t="n">
        <x:v>24</x:v>
      </x:c>
      <x:c r="F30" s="8" t="n">
        <x:v>8</x:v>
      </x:c>
      <x:c r="G30" s="9" t="n">
        <x:v>0.015</x:v>
      </x:c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3" t="d">
        <x:v>2025-03-01T00:00:00.000Z</x:v>
      </x:c>
      <x:c r="B31" s="2" t="str">
        <x:v>Pickup</x:v>
      </x:c>
      <x:c r="C31" s="2" t="str">
        <x:v>Sides</x:v>
      </x:c>
      <x:c r="D31" s="7" t="n">
        <x:v>175</x:v>
      </x:c>
      <x:c r="E31" s="8" t="n">
        <x:v>9</x:v>
      </x:c>
      <x:c r="F31" s="8" t="n">
        <x:v>2.5</x:v>
      </x:c>
      <x:c r="G31" s="9" t="n">
        <x:v>0.015</x:v>
      </x:c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3" t="d">
        <x:v>2025-03-01T00:00:00.000Z</x:v>
      </x:c>
      <x:c r="B32" s="2" t="str">
        <x:v>Pickup</x:v>
      </x:c>
      <x:c r="C32" s="2" t="str">
        <x:v>Drinks</x:v>
      </x:c>
      <x:c r="D32" s="7" t="n">
        <x:v>214</x:v>
      </x:c>
      <x:c r="E32" s="8" t="n">
        <x:v>6</x:v>
      </x:c>
      <x:c r="F32" s="8" t="n">
        <x:v>1.5</x:v>
      </x:c>
      <x:c r="G32" s="9" t="n">
        <x:v>0.015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3" t="d">
        <x:v>2025-03-01T00:00:00.000Z</x:v>
      </x:c>
      <x:c r="B33" s="2" t="str">
        <x:v>Pickup</x:v>
      </x:c>
      <x:c r="C33" s="2" t="str">
        <x:v>Desserts</x:v>
      </x:c>
      <x:c r="D33" s="7" t="n">
        <x:v>103</x:v>
      </x:c>
      <x:c r="E33" s="8" t="n">
        <x:v>11</x:v>
      </x:c>
      <x:c r="F33" s="8" t="n">
        <x:v>3.5</x:v>
      </x:c>
      <x:c r="G33" s="9" t="n">
        <x:v>0.015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3" t="d">
        <x:v>2025-03-01T00:00:00.000Z</x:v>
      </x:c>
      <x:c r="B34" s="2" t="str">
        <x:v>Delivery</x:v>
      </x:c>
      <x:c r="C34" s="2" t="str">
        <x:v>Mains</x:v>
      </x:c>
      <x:c r="D34" s="7" t="n">
        <x:v>344</x:v>
      </x:c>
      <x:c r="E34" s="8" t="n">
        <x:v>24</x:v>
      </x:c>
      <x:c r="F34" s="8" t="n">
        <x:v>8</x:v>
      </x:c>
      <x:c r="G34" s="9" t="n">
        <x:v>0.28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3" t="d">
        <x:v>2025-03-01T00:00:00.000Z</x:v>
      </x:c>
      <x:c r="B35" s="2" t="str">
        <x:v>Delivery</x:v>
      </x:c>
      <x:c r="C35" s="2" t="str">
        <x:v>Sides</x:v>
      </x:c>
      <x:c r="D35" s="7" t="n">
        <x:v>226</x:v>
      </x:c>
      <x:c r="E35" s="8" t="n">
        <x:v>9</x:v>
      </x:c>
      <x:c r="F35" s="8" t="n">
        <x:v>2.5</x:v>
      </x:c>
      <x:c r="G35" s="9" t="n">
        <x:v>0.28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3" t="d">
        <x:v>2025-03-01T00:00:00.000Z</x:v>
      </x:c>
      <x:c r="B36" s="2" t="str">
        <x:v>Delivery</x:v>
      </x:c>
      <x:c r="C36" s="2" t="str">
        <x:v>Drinks</x:v>
      </x:c>
      <x:c r="D36" s="7" t="n">
        <x:v>249</x:v>
      </x:c>
      <x:c r="E36" s="8" t="n">
        <x:v>6</x:v>
      </x:c>
      <x:c r="F36" s="8" t="n">
        <x:v>1.5</x:v>
      </x:c>
      <x:c r="G36" s="9" t="n">
        <x:v>0.28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22" customHeight="1">
      <x:c r="A37" s="3" t="d">
        <x:v>2025-03-01T00:00:00.000Z</x:v>
      </x:c>
      <x:c r="B37" s="2" t="str">
        <x:v>Delivery</x:v>
      </x:c>
      <x:c r="C37" s="2" t="str">
        <x:v>Desserts</x:v>
      </x:c>
      <x:c r="D37" s="7" t="n">
        <x:v>123</x:v>
      </x:c>
      <x:c r="E37" s="8" t="n">
        <x:v>11</x:v>
      </x:c>
      <x:c r="F37" s="8" t="n">
        <x:v>3.5</x:v>
      </x:c>
      <x:c r="G37" s="9" t="n">
        <x:v>0.28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3" t="d">
        <x:v>2025-04-01T00:00:00.000Z</x:v>
      </x:c>
      <x:c r="B38" s="2" t="str">
        <x:v>Dine-in</x:v>
      </x:c>
      <x:c r="C38" s="2" t="str">
        <x:v>Mains</x:v>
      </x:c>
      <x:c r="D38" s="7" t="n">
        <x:v>431</x:v>
      </x:c>
      <x:c r="E38" s="8" t="n">
        <x:v>24</x:v>
      </x:c>
      <x:c r="F38" s="8" t="n">
        <x:v>8</x:v>
      </x:c>
      <x:c r="G38" s="9" t="n">
        <x:v>0.015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22" customHeight="1">
      <x:c r="A39" s="3" t="d">
        <x:v>2025-04-01T00:00:00.000Z</x:v>
      </x:c>
      <x:c r="B39" s="2" t="str">
        <x:v>Dine-in</x:v>
      </x:c>
      <x:c r="C39" s="2" t="str">
        <x:v>Sides</x:v>
      </x:c>
      <x:c r="D39" s="7" t="n">
        <x:v>259</x:v>
      </x:c>
      <x:c r="E39" s="8" t="n">
        <x:v>9</x:v>
      </x:c>
      <x:c r="F39" s="8" t="n">
        <x:v>2.5</x:v>
      </x:c>
      <x:c r="G39" s="9" t="n">
        <x:v>0.015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22" customHeight="1">
      <x:c r="A40" s="3" t="d">
        <x:v>2025-04-01T00:00:00.000Z</x:v>
      </x:c>
      <x:c r="B40" s="2" t="str">
        <x:v>Dine-in</x:v>
      </x:c>
      <x:c r="C40" s="2" t="str">
        <x:v>Drinks</x:v>
      </x:c>
      <x:c r="D40" s="7" t="n">
        <x:v>319</x:v>
      </x:c>
      <x:c r="E40" s="8" t="n">
        <x:v>6</x:v>
      </x:c>
      <x:c r="F40" s="8" t="n">
        <x:v>1.5</x:v>
      </x:c>
      <x:c r="G40" s="9" t="n">
        <x:v>0.015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3" t="d">
        <x:v>2025-04-01T00:00:00.000Z</x:v>
      </x:c>
      <x:c r="B41" s="2" t="str">
        <x:v>Dine-in</x:v>
      </x:c>
      <x:c r="C41" s="2" t="str">
        <x:v>Desserts</x:v>
      </x:c>
      <x:c r="D41" s="7" t="n">
        <x:v>149</x:v>
      </x:c>
      <x:c r="E41" s="8" t="n">
        <x:v>11</x:v>
      </x:c>
      <x:c r="F41" s="8" t="n">
        <x:v>3.5</x:v>
      </x:c>
      <x:c r="G41" s="9" t="n">
        <x:v>0.015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3" t="d">
        <x:v>2025-04-01T00:00:00.000Z</x:v>
      </x:c>
      <x:c r="B42" s="2" t="str">
        <x:v>Pickup</x:v>
      </x:c>
      <x:c r="C42" s="2" t="str">
        <x:v>Mains</x:v>
      </x:c>
      <x:c r="D42" s="7" t="n">
        <x:v>275</x:v>
      </x:c>
      <x:c r="E42" s="8" t="n">
        <x:v>24</x:v>
      </x:c>
      <x:c r="F42" s="8" t="n">
        <x:v>8</x:v>
      </x:c>
      <x:c r="G42" s="9" t="n">
        <x:v>0.015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22" customHeight="1">
      <x:c r="A43" s="3" t="d">
        <x:v>2025-04-01T00:00:00.000Z</x:v>
      </x:c>
      <x:c r="B43" s="2" t="str">
        <x:v>Pickup</x:v>
      </x:c>
      <x:c r="C43" s="2" t="str">
        <x:v>Sides</x:v>
      </x:c>
      <x:c r="D43" s="7" t="n">
        <x:v>155</x:v>
      </x:c>
      <x:c r="E43" s="8" t="n">
        <x:v>9</x:v>
      </x:c>
      <x:c r="F43" s="8" t="n">
        <x:v>2.5</x:v>
      </x:c>
      <x:c r="G43" s="9" t="n">
        <x:v>0.015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3" t="d">
        <x:v>2025-04-01T00:00:00.000Z</x:v>
      </x:c>
      <x:c r="B44" s="2" t="str">
        <x:v>Pickup</x:v>
      </x:c>
      <x:c r="C44" s="2" t="str">
        <x:v>Drinks</x:v>
      </x:c>
      <x:c r="D44" s="7" t="n">
        <x:v>190</x:v>
      </x:c>
      <x:c r="E44" s="8" t="n">
        <x:v>6</x:v>
      </x:c>
      <x:c r="F44" s="8" t="n">
        <x:v>1.5</x:v>
      </x:c>
      <x:c r="G44" s="9" t="n">
        <x:v>0.015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22" customHeight="1">
      <x:c r="A45" s="3" t="d">
        <x:v>2025-04-01T00:00:00.000Z</x:v>
      </x:c>
      <x:c r="B45" s="2" t="str">
        <x:v>Pickup</x:v>
      </x:c>
      <x:c r="C45" s="2" t="str">
        <x:v>Desserts</x:v>
      </x:c>
      <x:c r="D45" s="7" t="n">
        <x:v>93</x:v>
      </x:c>
      <x:c r="E45" s="8" t="n">
        <x:v>11</x:v>
      </x:c>
      <x:c r="F45" s="8" t="n">
        <x:v>3.5</x:v>
      </x:c>
      <x:c r="G45" s="9" t="n">
        <x:v>0.015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22" customHeight="1">
      <x:c r="A46" s="3" t="d">
        <x:v>2025-04-01T00:00:00.000Z</x:v>
      </x:c>
      <x:c r="B46" s="2" t="str">
        <x:v>Delivery</x:v>
      </x:c>
      <x:c r="C46" s="2" t="str">
        <x:v>Mains</x:v>
      </x:c>
      <x:c r="D46" s="7" t="n">
        <x:v>310</x:v>
      </x:c>
      <x:c r="E46" s="8" t="n">
        <x:v>24</x:v>
      </x:c>
      <x:c r="F46" s="8" t="n">
        <x:v>8</x:v>
      </x:c>
      <x:c r="G46" s="9" t="n">
        <x:v>0.28</x:v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2" customHeight="1">
      <x:c r="A47" s="3" t="d">
        <x:v>2025-04-01T00:00:00.000Z</x:v>
      </x:c>
      <x:c r="B47" s="2" t="str">
        <x:v>Delivery</x:v>
      </x:c>
      <x:c r="C47" s="2" t="str">
        <x:v>Sides</x:v>
      </x:c>
      <x:c r="D47" s="7" t="n">
        <x:v>196</x:v>
      </x:c>
      <x:c r="E47" s="8" t="n">
        <x:v>9</x:v>
      </x:c>
      <x:c r="F47" s="8" t="n">
        <x:v>2.5</x:v>
      </x:c>
      <x:c r="G47" s="9" t="n">
        <x:v>0.28</x:v>
      </x:c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22" customHeight="1">
      <x:c r="A48" s="3" t="d">
        <x:v>2025-04-01T00:00:00.000Z</x:v>
      </x:c>
      <x:c r="B48" s="2" t="str">
        <x:v>Delivery</x:v>
      </x:c>
      <x:c r="C48" s="2" t="str">
        <x:v>Drinks</x:v>
      </x:c>
      <x:c r="D48" s="7" t="n">
        <x:v>229</x:v>
      </x:c>
      <x:c r="E48" s="8" t="n">
        <x:v>6</x:v>
      </x:c>
      <x:c r="F48" s="8" t="n">
        <x:v>1.5</x:v>
      </x:c>
      <x:c r="G48" s="9" t="n">
        <x:v>0.28</x:v>
      </x:c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2" customHeight="1">
      <x:c r="A49" s="3" t="d">
        <x:v>2025-04-01T00:00:00.000Z</x:v>
      </x:c>
      <x:c r="B49" s="2" t="str">
        <x:v>Delivery</x:v>
      </x:c>
      <x:c r="C49" s="2" t="str">
        <x:v>Desserts</x:v>
      </x:c>
      <x:c r="D49" s="7" t="n">
        <x:v>114</x:v>
      </x:c>
      <x:c r="E49" s="8" t="n">
        <x:v>11</x:v>
      </x:c>
      <x:c r="F49" s="8" t="n">
        <x:v>3.5</x:v>
      </x:c>
      <x:c r="G49" s="9" t="n">
        <x:v>0.28</x:v>
      </x:c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22" customHeight="1">
      <x:c r="A50" s="3" t="d">
        <x:v>2025-05-01T00:00:00.000Z</x:v>
      </x:c>
      <x:c r="B50" s="2" t="str">
        <x:v>Dine-in</x:v>
      </x:c>
      <x:c r="C50" s="2" t="str">
        <x:v>Mains</x:v>
      </x:c>
      <x:c r="D50" s="7" t="n">
        <x:v>385</x:v>
      </x:c>
      <x:c r="E50" s="8" t="n">
        <x:v>24</x:v>
      </x:c>
      <x:c r="F50" s="8" t="n">
        <x:v>8</x:v>
      </x:c>
      <x:c r="G50" s="9" t="n">
        <x:v>0.015</x:v>
      </x:c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22" customHeight="1">
      <x:c r="A51" s="3" t="d">
        <x:v>2025-05-01T00:00:00.000Z</x:v>
      </x:c>
      <x:c r="B51" s="2" t="str">
        <x:v>Dine-in</x:v>
      </x:c>
      <x:c r="C51" s="2" t="str">
        <x:v>Sides</x:v>
      </x:c>
      <x:c r="D51" s="7" t="n">
        <x:v>230</x:v>
      </x:c>
      <x:c r="E51" s="8" t="n">
        <x:v>9</x:v>
      </x:c>
      <x:c r="F51" s="8" t="n">
        <x:v>2.5</x:v>
      </x:c>
      <x:c r="G51" s="9" t="n">
        <x:v>0.015</x:v>
      </x:c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22" customHeight="1">
      <x:c r="A52" s="3" t="d">
        <x:v>2025-05-01T00:00:00.000Z</x:v>
      </x:c>
      <x:c r="B52" s="2" t="str">
        <x:v>Dine-in</x:v>
      </x:c>
      <x:c r="C52" s="2" t="str">
        <x:v>Drinks</x:v>
      </x:c>
      <x:c r="D52" s="7" t="n">
        <x:v>274</x:v>
      </x:c>
      <x:c r="E52" s="8" t="n">
        <x:v>6</x:v>
      </x:c>
      <x:c r="F52" s="8" t="n">
        <x:v>1.5</x:v>
      </x:c>
      <x:c r="G52" s="9" t="n">
        <x:v>0.015</x:v>
      </x:c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22" customHeight="1">
      <x:c r="A53" s="3" t="d">
        <x:v>2025-05-01T00:00:00.000Z</x:v>
      </x:c>
      <x:c r="B53" s="2" t="str">
        <x:v>Dine-in</x:v>
      </x:c>
      <x:c r="C53" s="2" t="str">
        <x:v>Desserts</x:v>
      </x:c>
      <x:c r="D53" s="7" t="n">
        <x:v>130</x:v>
      </x:c>
      <x:c r="E53" s="8" t="n">
        <x:v>11</x:v>
      </x:c>
      <x:c r="F53" s="8" t="n">
        <x:v>3.5</x:v>
      </x:c>
      <x:c r="G53" s="9" t="n">
        <x:v>0.015</x:v>
      </x:c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2" customHeight="1">
      <x:c r="A54" s="3" t="d">
        <x:v>2025-05-01T00:00:00.000Z</x:v>
      </x:c>
      <x:c r="B54" s="2" t="str">
        <x:v>Pickup</x:v>
      </x:c>
      <x:c r="C54" s="2" t="str">
        <x:v>Mains</x:v>
      </x:c>
      <x:c r="D54" s="7" t="n">
        <x:v>238</x:v>
      </x:c>
      <x:c r="E54" s="8" t="n">
        <x:v>24</x:v>
      </x:c>
      <x:c r="F54" s="8" t="n">
        <x:v>8</x:v>
      </x:c>
      <x:c r="G54" s="9" t="n">
        <x:v>0.015</x:v>
      </x:c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2" customHeight="1">
      <x:c r="A55" s="3" t="d">
        <x:v>2025-05-01T00:00:00.000Z</x:v>
      </x:c>
      <x:c r="B55" s="2" t="str">
        <x:v>Pickup</x:v>
      </x:c>
      <x:c r="C55" s="2" t="str">
        <x:v>Sides</x:v>
      </x:c>
      <x:c r="D55" s="7" t="n">
        <x:v>161</x:v>
      </x:c>
      <x:c r="E55" s="8" t="n">
        <x:v>9</x:v>
      </x:c>
      <x:c r="F55" s="8" t="n">
        <x:v>2.5</x:v>
      </x:c>
      <x:c r="G55" s="9" t="n">
        <x:v>0.015</x:v>
      </x:c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2" customHeight="1">
      <x:c r="A56" s="3" t="d">
        <x:v>2025-05-01T00:00:00.000Z</x:v>
      </x:c>
      <x:c r="B56" s="2" t="str">
        <x:v>Pickup</x:v>
      </x:c>
      <x:c r="C56" s="2" t="str">
        <x:v>Drinks</x:v>
      </x:c>
      <x:c r="D56" s="7" t="n">
        <x:v>185</x:v>
      </x:c>
      <x:c r="E56" s="8" t="n">
        <x:v>6</x:v>
      </x:c>
      <x:c r="F56" s="8" t="n">
        <x:v>1.5</x:v>
      </x:c>
      <x:c r="G56" s="9" t="n">
        <x:v>0.015</x:v>
      </x:c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2" customHeight="1">
      <x:c r="A57" s="3" t="d">
        <x:v>2025-05-01T00:00:00.000Z</x:v>
      </x:c>
      <x:c r="B57" s="2" t="str">
        <x:v>Pickup</x:v>
      </x:c>
      <x:c r="C57" s="2" t="str">
        <x:v>Desserts</x:v>
      </x:c>
      <x:c r="D57" s="7" t="n">
        <x:v>89</x:v>
      </x:c>
      <x:c r="E57" s="8" t="n">
        <x:v>11</x:v>
      </x:c>
      <x:c r="F57" s="8" t="n">
        <x:v>3.5</x:v>
      </x:c>
      <x:c r="G57" s="9" t="n">
        <x:v>0.015</x:v>
      </x:c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2" customHeight="1">
      <x:c r="A58" s="3" t="d">
        <x:v>2025-05-01T00:00:00.000Z</x:v>
      </x:c>
      <x:c r="B58" s="2" t="str">
        <x:v>Delivery</x:v>
      </x:c>
      <x:c r="C58" s="2" t="str">
        <x:v>Mains</x:v>
      </x:c>
      <x:c r="D58" s="7" t="n">
        <x:v>288</x:v>
      </x:c>
      <x:c r="E58" s="8" t="n">
        <x:v>24</x:v>
      </x:c>
      <x:c r="F58" s="8" t="n">
        <x:v>8</x:v>
      </x:c>
      <x:c r="G58" s="9" t="n">
        <x:v>0.28</x:v>
      </x:c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22" customHeight="1">
      <x:c r="A59" s="3" t="d">
        <x:v>2025-05-01T00:00:00.000Z</x:v>
      </x:c>
      <x:c r="B59" s="2" t="str">
        <x:v>Delivery</x:v>
      </x:c>
      <x:c r="C59" s="2" t="str">
        <x:v>Sides</x:v>
      </x:c>
      <x:c r="D59" s="7" t="n">
        <x:v>193</x:v>
      </x:c>
      <x:c r="E59" s="8" t="n">
        <x:v>9</x:v>
      </x:c>
      <x:c r="F59" s="8" t="n">
        <x:v>2.5</x:v>
      </x:c>
      <x:c r="G59" s="9" t="n">
        <x:v>0.28</x:v>
      </x:c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22" customHeight="1">
      <x:c r="A60" s="3" t="d">
        <x:v>2025-05-01T00:00:00.000Z</x:v>
      </x:c>
      <x:c r="B60" s="2" t="str">
        <x:v>Delivery</x:v>
      </x:c>
      <x:c r="C60" s="2" t="str">
        <x:v>Drinks</x:v>
      </x:c>
      <x:c r="D60" s="7" t="n">
        <x:v>213</x:v>
      </x:c>
      <x:c r="E60" s="8" t="n">
        <x:v>6</x:v>
      </x:c>
      <x:c r="F60" s="8" t="n">
        <x:v>1.5</x:v>
      </x:c>
      <x:c r="G60" s="9" t="n">
        <x:v>0.28</x:v>
      </x:c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22" customHeight="1">
      <x:c r="A61" s="3" t="d">
        <x:v>2025-05-01T00:00:00.000Z</x:v>
      </x:c>
      <x:c r="B61" s="2" t="str">
        <x:v>Delivery</x:v>
      </x:c>
      <x:c r="C61" s="2" t="str">
        <x:v>Desserts</x:v>
      </x:c>
      <x:c r="D61" s="7" t="n">
        <x:v>106</x:v>
      </x:c>
      <x:c r="E61" s="8" t="n">
        <x:v>11</x:v>
      </x:c>
      <x:c r="F61" s="8" t="n">
        <x:v>3.5</x:v>
      </x:c>
      <x:c r="G61" s="9" t="n">
        <x:v>0.28</x:v>
      </x:c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22" customHeight="1">
      <x:c r="A62" s="3" t="d">
        <x:v>2025-06-01T00:00:00.000Z</x:v>
      </x:c>
      <x:c r="B62" s="2" t="str">
        <x:v>Dine-in</x:v>
      </x:c>
      <x:c r="C62" s="2" t="str">
        <x:v>Mains</x:v>
      </x:c>
      <x:c r="D62" s="7" t="n">
        <x:v>368</x:v>
      </x:c>
      <x:c r="E62" s="8" t="n">
        <x:v>24</x:v>
      </x:c>
      <x:c r="F62" s="8" t="n">
        <x:v>8</x:v>
      </x:c>
      <x:c r="G62" s="9" t="n">
        <x:v>0.015</x:v>
      </x:c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22" customHeight="1">
      <x:c r="A63" s="3" t="d">
        <x:v>2025-06-01T00:00:00.000Z</x:v>
      </x:c>
      <x:c r="B63" s="2" t="str">
        <x:v>Dine-in</x:v>
      </x:c>
      <x:c r="C63" s="2" t="str">
        <x:v>Sides</x:v>
      </x:c>
      <x:c r="D63" s="7" t="n">
        <x:v>217</x:v>
      </x:c>
      <x:c r="E63" s="8" t="n">
        <x:v>9</x:v>
      </x:c>
      <x:c r="F63" s="8" t="n">
        <x:v>2.5</x:v>
      </x:c>
      <x:c r="G63" s="9" t="n">
        <x:v>0.015</x:v>
      </x:c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22" customHeight="1">
      <x:c r="A64" s="3" t="d">
        <x:v>2025-06-01T00:00:00.000Z</x:v>
      </x:c>
      <x:c r="B64" s="2" t="str">
        <x:v>Dine-in</x:v>
      </x:c>
      <x:c r="C64" s="2" t="str">
        <x:v>Drinks</x:v>
      </x:c>
      <x:c r="D64" s="7" t="n">
        <x:v>256</x:v>
      </x:c>
      <x:c r="E64" s="8" t="n">
        <x:v>6</x:v>
      </x:c>
      <x:c r="F64" s="8" t="n">
        <x:v>1.5</x:v>
      </x:c>
      <x:c r="G64" s="9" t="n">
        <x:v>0.015</x:v>
      </x:c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22" customHeight="1">
      <x:c r="A65" s="3" t="d">
        <x:v>2025-06-01T00:00:00.000Z</x:v>
      </x:c>
      <x:c r="B65" s="2" t="str">
        <x:v>Dine-in</x:v>
      </x:c>
      <x:c r="C65" s="2" t="str">
        <x:v>Desserts</x:v>
      </x:c>
      <x:c r="D65" s="7" t="n">
        <x:v>126</x:v>
      </x:c>
      <x:c r="E65" s="8" t="n">
        <x:v>11</x:v>
      </x:c>
      <x:c r="F65" s="8" t="n">
        <x:v>3.5</x:v>
      </x:c>
      <x:c r="G65" s="9" t="n">
        <x:v>0.015</x:v>
      </x:c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22" customHeight="1">
      <x:c r="A66" s="3" t="d">
        <x:v>2025-06-01T00:00:00.000Z</x:v>
      </x:c>
      <x:c r="B66" s="2" t="str">
        <x:v>Pickup</x:v>
      </x:c>
      <x:c r="C66" s="2" t="str">
        <x:v>Mains</x:v>
      </x:c>
      <x:c r="D66" s="7" t="n">
        <x:v>235</x:v>
      </x:c>
      <x:c r="E66" s="8" t="n">
        <x:v>24</x:v>
      </x:c>
      <x:c r="F66" s="8" t="n">
        <x:v>8</x:v>
      </x:c>
      <x:c r="G66" s="9" t="n">
        <x:v>0.015</x:v>
      </x:c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22" customHeight="1">
      <x:c r="A67" s="3" t="d">
        <x:v>2025-06-01T00:00:00.000Z</x:v>
      </x:c>
      <x:c r="B67" s="2" t="str">
        <x:v>Pickup</x:v>
      </x:c>
      <x:c r="C67" s="2" t="str">
        <x:v>Sides</x:v>
      </x:c>
      <x:c r="D67" s="7" t="n">
        <x:v>144</x:v>
      </x:c>
      <x:c r="E67" s="8" t="n">
        <x:v>9</x:v>
      </x:c>
      <x:c r="F67" s="8" t="n">
        <x:v>2.5</x:v>
      </x:c>
      <x:c r="G67" s="9" t="n">
        <x:v>0.015</x:v>
      </x:c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22" customHeight="1">
      <x:c r="A68" s="3" t="d">
        <x:v>2025-06-01T00:00:00.000Z</x:v>
      </x:c>
      <x:c r="B68" s="2" t="str">
        <x:v>Pickup</x:v>
      </x:c>
      <x:c r="C68" s="2" t="str">
        <x:v>Drinks</x:v>
      </x:c>
      <x:c r="D68" s="7" t="n">
        <x:v>159</x:v>
      </x:c>
      <x:c r="E68" s="8" t="n">
        <x:v>6</x:v>
      </x:c>
      <x:c r="F68" s="8" t="n">
        <x:v>1.5</x:v>
      </x:c>
      <x:c r="G68" s="9" t="n">
        <x:v>0.015</x:v>
      </x:c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22" customHeight="1">
      <x:c r="A69" s="3" t="d">
        <x:v>2025-06-01T00:00:00.000Z</x:v>
      </x:c>
      <x:c r="B69" s="2" t="str">
        <x:v>Pickup</x:v>
      </x:c>
      <x:c r="C69" s="2" t="str">
        <x:v>Desserts</x:v>
      </x:c>
      <x:c r="D69" s="7" t="n">
        <x:v>75</x:v>
      </x:c>
      <x:c r="E69" s="8" t="n">
        <x:v>11</x:v>
      </x:c>
      <x:c r="F69" s="8" t="n">
        <x:v>3.5</x:v>
      </x:c>
      <x:c r="G69" s="9" t="n">
        <x:v>0.015</x:v>
      </x:c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22" customHeight="1">
      <x:c r="A70" s="3" t="d">
        <x:v>2025-06-01T00:00:00.000Z</x:v>
      </x:c>
      <x:c r="B70" s="2" t="str">
        <x:v>Delivery</x:v>
      </x:c>
      <x:c r="C70" s="2" t="str">
        <x:v>Mains</x:v>
      </x:c>
      <x:c r="D70" s="7" t="n">
        <x:v>268</x:v>
      </x:c>
      <x:c r="E70" s="8" t="n">
        <x:v>24</x:v>
      </x:c>
      <x:c r="F70" s="8" t="n">
        <x:v>8</x:v>
      </x:c>
      <x:c r="G70" s="9" t="n">
        <x:v>0.28</x:v>
      </x:c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22" customHeight="1">
      <x:c r="A71" s="3" t="d">
        <x:v>2025-06-01T00:00:00.000Z</x:v>
      </x:c>
      <x:c r="B71" s="2" t="str">
        <x:v>Delivery</x:v>
      </x:c>
      <x:c r="C71" s="2" t="str">
        <x:v>Sides</x:v>
      </x:c>
      <x:c r="D71" s="7" t="n">
        <x:v>165</x:v>
      </x:c>
      <x:c r="E71" s="8" t="n">
        <x:v>9</x:v>
      </x:c>
      <x:c r="F71" s="8" t="n">
        <x:v>2.5</x:v>
      </x:c>
      <x:c r="G71" s="9" t="n">
        <x:v>0.28</x:v>
      </x:c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22" customHeight="1">
      <x:c r="A72" s="3" t="d">
        <x:v>2025-06-01T00:00:00.000Z</x:v>
      </x:c>
      <x:c r="B72" s="2" t="str">
        <x:v>Delivery</x:v>
      </x:c>
      <x:c r="C72" s="2" t="str">
        <x:v>Drinks</x:v>
      </x:c>
      <x:c r="D72" s="7" t="n">
        <x:v>195</x:v>
      </x:c>
      <x:c r="E72" s="8" t="n">
        <x:v>6</x:v>
      </x:c>
      <x:c r="F72" s="8" t="n">
        <x:v>1.5</x:v>
      </x:c>
      <x:c r="G72" s="9" t="n">
        <x:v>0.28</x:v>
      </x:c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22" customHeight="1">
      <x:c r="A73" s="3" t="d">
        <x:v>2025-06-01T00:00:00.000Z</x:v>
      </x:c>
      <x:c r="B73" s="2" t="str">
        <x:v>Delivery</x:v>
      </x:c>
      <x:c r="C73" s="2" t="str">
        <x:v>Desserts</x:v>
      </x:c>
      <x:c r="D73" s="7" t="n">
        <x:v>105</x:v>
      </x:c>
      <x:c r="E73" s="8" t="n">
        <x:v>11</x:v>
      </x:c>
      <x:c r="F73" s="8" t="n">
        <x:v>3.5</x:v>
      </x:c>
      <x:c r="G73" s="9" t="n">
        <x:v>0.28</x:v>
      </x:c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22" customHeight="1">
      <x:c r="A74" s="3" t="d">
        <x:v>2025-07-01T00:00:00.000Z</x:v>
      </x:c>
      <x:c r="B74" s="2" t="str">
        <x:v>Dine-in</x:v>
      </x:c>
      <x:c r="C74" s="2" t="str">
        <x:v>Mains</x:v>
      </x:c>
      <x:c r="D74" s="7" t="n">
        <x:v>354</x:v>
      </x:c>
      <x:c r="E74" s="8" t="n">
        <x:v>24</x:v>
      </x:c>
      <x:c r="F74" s="8" t="n">
        <x:v>8</x:v>
      </x:c>
      <x:c r="G74" s="9" t="n">
        <x:v>0.015</x:v>
      </x:c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22" customHeight="1">
      <x:c r="A75" s="3" t="d">
        <x:v>2025-07-01T00:00:00.000Z</x:v>
      </x:c>
      <x:c r="B75" s="2" t="str">
        <x:v>Dine-in</x:v>
      </x:c>
      <x:c r="C75" s="2" t="str">
        <x:v>Sides</x:v>
      </x:c>
      <x:c r="D75" s="7" t="n">
        <x:v>203</x:v>
      </x:c>
      <x:c r="E75" s="8" t="n">
        <x:v>9</x:v>
      </x:c>
      <x:c r="F75" s="8" t="n">
        <x:v>2.5</x:v>
      </x:c>
      <x:c r="G75" s="9" t="n">
        <x:v>0.015</x:v>
      </x:c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22" customHeight="1">
      <x:c r="A76" s="3" t="d">
        <x:v>2025-07-01T00:00:00.000Z</x:v>
      </x:c>
      <x:c r="B76" s="2" t="str">
        <x:v>Dine-in</x:v>
      </x:c>
      <x:c r="C76" s="2" t="str">
        <x:v>Drinks</x:v>
      </x:c>
      <x:c r="D76" s="7" t="n">
        <x:v>253</x:v>
      </x:c>
      <x:c r="E76" s="8" t="n">
        <x:v>6</x:v>
      </x:c>
      <x:c r="F76" s="8" t="n">
        <x:v>1.5</x:v>
      </x:c>
      <x:c r="G76" s="9" t="n">
        <x:v>0.015</x:v>
      </x:c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22" customHeight="1">
      <x:c r="A77" s="3" t="d">
        <x:v>2025-07-01T00:00:00.000Z</x:v>
      </x:c>
      <x:c r="B77" s="2" t="str">
        <x:v>Dine-in</x:v>
      </x:c>
      <x:c r="C77" s="2" t="str">
        <x:v>Desserts</x:v>
      </x:c>
      <x:c r="D77" s="7" t="n">
        <x:v>118</x:v>
      </x:c>
      <x:c r="E77" s="8" t="n">
        <x:v>11</x:v>
      </x:c>
      <x:c r="F77" s="8" t="n">
        <x:v>3.5</x:v>
      </x:c>
      <x:c r="G77" s="9" t="n">
        <x:v>0.015</x:v>
      </x:c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22" customHeight="1">
      <x:c r="A78" s="3" t="d">
        <x:v>2025-07-01T00:00:00.000Z</x:v>
      </x:c>
      <x:c r="B78" s="2" t="str">
        <x:v>Pickup</x:v>
      </x:c>
      <x:c r="C78" s="2" t="str">
        <x:v>Mains</x:v>
      </x:c>
      <x:c r="D78" s="7" t="n">
        <x:v>231</x:v>
      </x:c>
      <x:c r="E78" s="8" t="n">
        <x:v>24</x:v>
      </x:c>
      <x:c r="F78" s="8" t="n">
        <x:v>8</x:v>
      </x:c>
      <x:c r="G78" s="9" t="n">
        <x:v>0.015</x:v>
      </x:c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22" customHeight="1">
      <x:c r="A79" s="3" t="d">
        <x:v>2025-07-01T00:00:00.000Z</x:v>
      </x:c>
      <x:c r="B79" s="2" t="str">
        <x:v>Pickup</x:v>
      </x:c>
      <x:c r="C79" s="2" t="str">
        <x:v>Sides</x:v>
      </x:c>
      <x:c r="D79" s="7" t="n">
        <x:v>134</x:v>
      </x:c>
      <x:c r="E79" s="8" t="n">
        <x:v>9</x:v>
      </x:c>
      <x:c r="F79" s="8" t="n">
        <x:v>2.5</x:v>
      </x:c>
      <x:c r="G79" s="9" t="n">
        <x:v>0.015</x:v>
      </x:c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22" customHeight="1">
      <x:c r="A80" s="3" t="d">
        <x:v>2025-07-01T00:00:00.000Z</x:v>
      </x:c>
      <x:c r="B80" s="2" t="str">
        <x:v>Pickup</x:v>
      </x:c>
      <x:c r="C80" s="2" t="str">
        <x:v>Drinks</x:v>
      </x:c>
      <x:c r="D80" s="7" t="n">
        <x:v>156</x:v>
      </x:c>
      <x:c r="E80" s="8" t="n">
        <x:v>6</x:v>
      </x:c>
      <x:c r="F80" s="8" t="n">
        <x:v>1.5</x:v>
      </x:c>
      <x:c r="G80" s="9" t="n">
        <x:v>0.015</x:v>
      </x:c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22" customHeight="1">
      <x:c r="A81" s="3" t="d">
        <x:v>2025-07-01T00:00:00.000Z</x:v>
      </x:c>
      <x:c r="B81" s="2" t="str">
        <x:v>Pickup</x:v>
      </x:c>
      <x:c r="C81" s="2" t="str">
        <x:v>Desserts</x:v>
      </x:c>
      <x:c r="D81" s="7" t="n">
        <x:v>75</x:v>
      </x:c>
      <x:c r="E81" s="8" t="n">
        <x:v>11</x:v>
      </x:c>
      <x:c r="F81" s="8" t="n">
        <x:v>3.5</x:v>
      </x:c>
      <x:c r="G81" s="9" t="n">
        <x:v>0.015</x:v>
      </x:c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22" customHeight="1">
      <x:c r="A82" s="3" t="d">
        <x:v>2025-07-01T00:00:00.000Z</x:v>
      </x:c>
      <x:c r="B82" s="2" t="str">
        <x:v>Delivery</x:v>
      </x:c>
      <x:c r="C82" s="2" t="str">
        <x:v>Mains</x:v>
      </x:c>
      <x:c r="D82" s="7" t="n">
        <x:v>271</x:v>
      </x:c>
      <x:c r="E82" s="8" t="n">
        <x:v>24</x:v>
      </x:c>
      <x:c r="F82" s="8" t="n">
        <x:v>8</x:v>
      </x:c>
      <x:c r="G82" s="9" t="n">
        <x:v>0.28</x:v>
      </x:c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22" customHeight="1">
      <x:c r="A83" s="3" t="d">
        <x:v>2025-07-01T00:00:00.000Z</x:v>
      </x:c>
      <x:c r="B83" s="2" t="str">
        <x:v>Delivery</x:v>
      </x:c>
      <x:c r="C83" s="2" t="str">
        <x:v>Sides</x:v>
      </x:c>
      <x:c r="D83" s="7" t="n">
        <x:v>161</x:v>
      </x:c>
      <x:c r="E83" s="8" t="n">
        <x:v>9</x:v>
      </x:c>
      <x:c r="F83" s="8" t="n">
        <x:v>2.5</x:v>
      </x:c>
      <x:c r="G83" s="9" t="n">
        <x:v>0.28</x:v>
      </x:c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22" customHeight="1">
      <x:c r="A84" s="3" t="d">
        <x:v>2025-07-01T00:00:00.000Z</x:v>
      </x:c>
      <x:c r="B84" s="2" t="str">
        <x:v>Delivery</x:v>
      </x:c>
      <x:c r="C84" s="2" t="str">
        <x:v>Drinks</x:v>
      </x:c>
      <x:c r="D84" s="7" t="n">
        <x:v>201</x:v>
      </x:c>
      <x:c r="E84" s="8" t="n">
        <x:v>6</x:v>
      </x:c>
      <x:c r="F84" s="8" t="n">
        <x:v>1.5</x:v>
      </x:c>
      <x:c r="G84" s="9" t="n">
        <x:v>0.28</x:v>
      </x:c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22" customHeight="1">
      <x:c r="A85" s="3" t="d">
        <x:v>2025-07-01T00:00:00.000Z</x:v>
      </x:c>
      <x:c r="B85" s="2" t="str">
        <x:v>Delivery</x:v>
      </x:c>
      <x:c r="C85" s="2" t="str">
        <x:v>Desserts</x:v>
      </x:c>
      <x:c r="D85" s="7" t="n">
        <x:v>101</x:v>
      </x:c>
      <x:c r="E85" s="8" t="n">
        <x:v>11</x:v>
      </x:c>
      <x:c r="F85" s="8" t="n">
        <x:v>3.5</x:v>
      </x:c>
      <x:c r="G85" s="9" t="n">
        <x:v>0.28</x:v>
      </x:c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22" customHeight="1">
      <x:c r="A86" s="3" t="d">
        <x:v>2025-08-01T00:00:00.000Z</x:v>
      </x:c>
      <x:c r="B86" s="2" t="str">
        <x:v>Dine-in</x:v>
      </x:c>
      <x:c r="C86" s="2" t="str">
        <x:v>Mains</x:v>
      </x:c>
      <x:c r="D86" s="7" t="n">
        <x:v>352</x:v>
      </x:c>
      <x:c r="E86" s="8" t="n">
        <x:v>24</x:v>
      </x:c>
      <x:c r="F86" s="8" t="n">
        <x:v>8</x:v>
      </x:c>
      <x:c r="G86" s="9" t="n">
        <x:v>0.015</x:v>
      </x:c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22" customHeight="1">
      <x:c r="A87" s="3" t="d">
        <x:v>2025-08-01T00:00:00.000Z</x:v>
      </x:c>
      <x:c r="B87" s="2" t="str">
        <x:v>Dine-in</x:v>
      </x:c>
      <x:c r="C87" s="2" t="str">
        <x:v>Sides</x:v>
      </x:c>
      <x:c r="D87" s="7" t="n">
        <x:v>212</x:v>
      </x:c>
      <x:c r="E87" s="8" t="n">
        <x:v>9</x:v>
      </x:c>
      <x:c r="F87" s="8" t="n">
        <x:v>2.5</x:v>
      </x:c>
      <x:c r="G87" s="9" t="n">
        <x:v>0.015</x:v>
      </x:c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22" customHeight="1">
      <x:c r="A88" s="3" t="d">
        <x:v>2025-08-01T00:00:00.000Z</x:v>
      </x:c>
      <x:c r="B88" s="2" t="str">
        <x:v>Dine-in</x:v>
      </x:c>
      <x:c r="C88" s="2" t="str">
        <x:v>Drinks</x:v>
      </x:c>
      <x:c r="D88" s="7" t="n">
        <x:v>282</x:v>
      </x:c>
      <x:c r="E88" s="8" t="n">
        <x:v>6</x:v>
      </x:c>
      <x:c r="F88" s="8" t="n">
        <x:v>1.5</x:v>
      </x:c>
      <x:c r="G88" s="9" t="n">
        <x:v>0.015</x:v>
      </x:c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22" customHeight="1">
      <x:c r="A89" s="3" t="d">
        <x:v>2025-08-01T00:00:00.000Z</x:v>
      </x:c>
      <x:c r="B89" s="2" t="str">
        <x:v>Dine-in</x:v>
      </x:c>
      <x:c r="C89" s="2" t="str">
        <x:v>Desserts</x:v>
      </x:c>
      <x:c r="D89" s="7" t="n">
        <x:v>128</x:v>
      </x:c>
      <x:c r="E89" s="8" t="n">
        <x:v>11</x:v>
      </x:c>
      <x:c r="F89" s="8" t="n">
        <x:v>3.5</x:v>
      </x:c>
      <x:c r="G89" s="9" t="n">
        <x:v>0.015</x:v>
      </x:c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22" customHeight="1">
      <x:c r="A90" s="3" t="d">
        <x:v>2025-08-01T00:00:00.000Z</x:v>
      </x:c>
      <x:c r="B90" s="2" t="str">
        <x:v>Pickup</x:v>
      </x:c>
      <x:c r="C90" s="2" t="str">
        <x:v>Mains</x:v>
      </x:c>
      <x:c r="D90" s="7" t="n">
        <x:v>219</x:v>
      </x:c>
      <x:c r="E90" s="8" t="n">
        <x:v>24</x:v>
      </x:c>
      <x:c r="F90" s="8" t="n">
        <x:v>8</x:v>
      </x:c>
      <x:c r="G90" s="9" t="n">
        <x:v>0.015</x:v>
      </x:c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22" customHeight="1">
      <x:c r="A91" s="3" t="d">
        <x:v>2025-08-01T00:00:00.000Z</x:v>
      </x:c>
      <x:c r="B91" s="2" t="str">
        <x:v>Pickup</x:v>
      </x:c>
      <x:c r="C91" s="2" t="str">
        <x:v>Sides</x:v>
      </x:c>
      <x:c r="D91" s="7" t="n">
        <x:v>135</x:v>
      </x:c>
      <x:c r="E91" s="8" t="n">
        <x:v>9</x:v>
      </x:c>
      <x:c r="F91" s="8" t="n">
        <x:v>2.5</x:v>
      </x:c>
      <x:c r="G91" s="9" t="n">
        <x:v>0.015</x:v>
      </x:c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22" customHeight="1">
      <x:c r="A92" s="3" t="d">
        <x:v>2025-08-01T00:00:00.000Z</x:v>
      </x:c>
      <x:c r="B92" s="2" t="str">
        <x:v>Pickup</x:v>
      </x:c>
      <x:c r="C92" s="2" t="str">
        <x:v>Drinks</x:v>
      </x:c>
      <x:c r="D92" s="7" t="n">
        <x:v>162</x:v>
      </x:c>
      <x:c r="E92" s="8" t="n">
        <x:v>6</x:v>
      </x:c>
      <x:c r="F92" s="8" t="n">
        <x:v>1.5</x:v>
      </x:c>
      <x:c r="G92" s="9" t="n">
        <x:v>0.015</x:v>
      </x:c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22" customHeight="1">
      <x:c r="A93" s="3" t="d">
        <x:v>2025-08-01T00:00:00.000Z</x:v>
      </x:c>
      <x:c r="B93" s="2" t="str">
        <x:v>Pickup</x:v>
      </x:c>
      <x:c r="C93" s="2" t="str">
        <x:v>Desserts</x:v>
      </x:c>
      <x:c r="D93" s="7" t="n">
        <x:v>84</x:v>
      </x:c>
      <x:c r="E93" s="8" t="n">
        <x:v>11</x:v>
      </x:c>
      <x:c r="F93" s="8" t="n">
        <x:v>3.5</x:v>
      </x:c>
      <x:c r="G93" s="9" t="n">
        <x:v>0.015</x:v>
      </x:c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22" customHeight="1">
      <x:c r="A94" s="3" t="d">
        <x:v>2025-08-01T00:00:00.000Z</x:v>
      </x:c>
      <x:c r="B94" s="2" t="str">
        <x:v>Delivery</x:v>
      </x:c>
      <x:c r="C94" s="2" t="str">
        <x:v>Mains</x:v>
      </x:c>
      <x:c r="D94" s="7" t="n">
        <x:v>297</x:v>
      </x:c>
      <x:c r="E94" s="8" t="n">
        <x:v>24</x:v>
      </x:c>
      <x:c r="F94" s="8" t="n">
        <x:v>8</x:v>
      </x:c>
      <x:c r="G94" s="9" t="n">
        <x:v>0.28</x:v>
      </x:c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22" customHeight="1">
      <x:c r="A95" s="3" t="d">
        <x:v>2025-08-01T00:00:00.000Z</x:v>
      </x:c>
      <x:c r="B95" s="2" t="str">
        <x:v>Delivery</x:v>
      </x:c>
      <x:c r="C95" s="2" t="str">
        <x:v>Sides</x:v>
      </x:c>
      <x:c r="D95" s="7" t="n">
        <x:v>175</x:v>
      </x:c>
      <x:c r="E95" s="8" t="n">
        <x:v>9</x:v>
      </x:c>
      <x:c r="F95" s="8" t="n">
        <x:v>2.5</x:v>
      </x:c>
      <x:c r="G95" s="9" t="n">
        <x:v>0.28</x:v>
      </x:c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22" customHeight="1">
      <x:c r="A96" s="3" t="d">
        <x:v>2025-08-01T00:00:00.000Z</x:v>
      </x:c>
      <x:c r="B96" s="2" t="str">
        <x:v>Delivery</x:v>
      </x:c>
      <x:c r="C96" s="2" t="str">
        <x:v>Drinks</x:v>
      </x:c>
      <x:c r="D96" s="7" t="n">
        <x:v>198</x:v>
      </x:c>
      <x:c r="E96" s="8" t="n">
        <x:v>6</x:v>
      </x:c>
      <x:c r="F96" s="8" t="n">
        <x:v>1.5</x:v>
      </x:c>
      <x:c r="G96" s="9" t="n">
        <x:v>0.28</x:v>
      </x:c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22" customHeight="1">
      <x:c r="A97" s="3" t="d">
        <x:v>2025-08-01T00:00:00.000Z</x:v>
      </x:c>
      <x:c r="B97" s="2" t="str">
        <x:v>Delivery</x:v>
      </x:c>
      <x:c r="C97" s="2" t="str">
        <x:v>Desserts</x:v>
      </x:c>
      <x:c r="D97" s="7" t="n">
        <x:v>100</x:v>
      </x:c>
      <x:c r="E97" s="8" t="n">
        <x:v>11</x:v>
      </x:c>
      <x:c r="F97" s="8" t="n">
        <x:v>3.5</x:v>
      </x:c>
      <x:c r="G97" s="9" t="n">
        <x:v>0.28</x:v>
      </x:c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22" customHeight="1">
      <x:c r="A98" s="3" t="d">
        <x:v>2025-09-01T00:00:00.000Z</x:v>
      </x:c>
      <x:c r="B98" s="2" t="str">
        <x:v>Dine-in</x:v>
      </x:c>
      <x:c r="C98" s="2" t="str">
        <x:v>Mains</x:v>
      </x:c>
      <x:c r="D98" s="7" t="n">
        <x:v>427</x:v>
      </x:c>
      <x:c r="E98" s="8" t="n">
        <x:v>24</x:v>
      </x:c>
      <x:c r="F98" s="8" t="n">
        <x:v>8</x:v>
      </x:c>
      <x:c r="G98" s="9" t="n">
        <x:v>0.015</x:v>
      </x:c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22" customHeight="1">
      <x:c r="A99" s="3" t="d">
        <x:v>2025-09-01T00:00:00.000Z</x:v>
      </x:c>
      <x:c r="B99" s="2" t="str">
        <x:v>Dine-in</x:v>
      </x:c>
      <x:c r="C99" s="2" t="str">
        <x:v>Sides</x:v>
      </x:c>
      <x:c r="D99" s="7" t="n">
        <x:v>248</x:v>
      </x:c>
      <x:c r="E99" s="8" t="n">
        <x:v>9</x:v>
      </x:c>
      <x:c r="F99" s="8" t="n">
        <x:v>2.5</x:v>
      </x:c>
      <x:c r="G99" s="9" t="n">
        <x:v>0.015</x:v>
      </x:c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22" customHeight="1">
      <x:c r="A100" s="3" t="d">
        <x:v>2025-09-01T00:00:00.000Z</x:v>
      </x:c>
      <x:c r="B100" s="2" t="str">
        <x:v>Dine-in</x:v>
      </x:c>
      <x:c r="C100" s="2" t="str">
        <x:v>Drinks</x:v>
      </x:c>
      <x:c r="D100" s="7" t="n">
        <x:v>314</x:v>
      </x:c>
      <x:c r="E100" s="8" t="n">
        <x:v>6</x:v>
      </x:c>
      <x:c r="F100" s="8" t="n">
        <x:v>1.5</x:v>
      </x:c>
      <x:c r="G100" s="9" t="n">
        <x:v>0.015</x:v>
      </x:c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 ht="22" customHeight="1">
      <x:c r="A101" s="3" t="d">
        <x:v>2025-09-01T00:00:00.000Z</x:v>
      </x:c>
      <x:c r="B101" s="2" t="str">
        <x:v>Dine-in</x:v>
      </x:c>
      <x:c r="C101" s="2" t="str">
        <x:v>Desserts</x:v>
      </x:c>
      <x:c r="D101" s="7" t="n">
        <x:v>150</x:v>
      </x:c>
      <x:c r="E101" s="8" t="n">
        <x:v>11</x:v>
      </x:c>
      <x:c r="F101" s="8" t="n">
        <x:v>3.5</x:v>
      </x:c>
      <x:c r="G101" s="9" t="n">
        <x:v>0.015</x:v>
      </x:c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 ht="22" customHeight="1">
      <x:c r="A102" s="3" t="d">
        <x:v>2025-09-01T00:00:00.000Z</x:v>
      </x:c>
      <x:c r="B102" s="2" t="str">
        <x:v>Pickup</x:v>
      </x:c>
      <x:c r="C102" s="2" t="str">
        <x:v>Mains</x:v>
      </x:c>
      <x:c r="D102" s="7" t="n">
        <x:v>242</x:v>
      </x:c>
      <x:c r="E102" s="8" t="n">
        <x:v>24</x:v>
      </x:c>
      <x:c r="F102" s="8" t="n">
        <x:v>8</x:v>
      </x:c>
      <x:c r="G102" s="9" t="n">
        <x:v>0.015</x:v>
      </x:c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 ht="22" customHeight="1">
      <x:c r="A103" s="3" t="d">
        <x:v>2025-09-01T00:00:00.000Z</x:v>
      </x:c>
      <x:c r="B103" s="2" t="str">
        <x:v>Pickup</x:v>
      </x:c>
      <x:c r="C103" s="2" t="str">
        <x:v>Sides</x:v>
      </x:c>
      <x:c r="D103" s="7" t="n">
        <x:v>166</x:v>
      </x:c>
      <x:c r="E103" s="8" t="n">
        <x:v>9</x:v>
      </x:c>
      <x:c r="F103" s="8" t="n">
        <x:v>2.5</x:v>
      </x:c>
      <x:c r="G103" s="9" t="n">
        <x:v>0.015</x:v>
      </x:c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 ht="22" customHeight="1">
      <x:c r="A104" s="3" t="d">
        <x:v>2025-09-01T00:00:00.000Z</x:v>
      </x:c>
      <x:c r="B104" s="2" t="str">
        <x:v>Pickup</x:v>
      </x:c>
      <x:c r="C104" s="2" t="str">
        <x:v>Drinks</x:v>
      </x:c>
      <x:c r="D104" s="7" t="n">
        <x:v>196</x:v>
      </x:c>
      <x:c r="E104" s="8" t="n">
        <x:v>6</x:v>
      </x:c>
      <x:c r="F104" s="8" t="n">
        <x:v>1.5</x:v>
      </x:c>
      <x:c r="G104" s="9" t="n">
        <x:v>0.015</x:v>
      </x:c>
      <x:c r="H104" s="2"/>
      <x:c r="I104" s="2"/>
      <x:c r="J104" s="2"/>
      <x:c r="K104" s="2"/>
      <x:c r="L104" s="2"/>
      <x:c r="M104" s="2"/>
      <x:c r="N104" s="2"/>
      <x:c r="O104" s="2"/>
      <x:c r="P104" s="2"/>
    </x:row>
    <x:row r="105" ht="22" customHeight="1">
      <x:c r="A105" s="3" t="d">
        <x:v>2025-09-01T00:00:00.000Z</x:v>
      </x:c>
      <x:c r="B105" s="2" t="str">
        <x:v>Pickup</x:v>
      </x:c>
      <x:c r="C105" s="2" t="str">
        <x:v>Desserts</x:v>
      </x:c>
      <x:c r="D105" s="7" t="n">
        <x:v>93</x:v>
      </x:c>
      <x:c r="E105" s="8" t="n">
        <x:v>11</x:v>
      </x:c>
      <x:c r="F105" s="8" t="n">
        <x:v>3.5</x:v>
      </x:c>
      <x:c r="G105" s="9" t="n">
        <x:v>0.015</x:v>
      </x:c>
      <x:c r="H105" s="2"/>
      <x:c r="I105" s="2"/>
      <x:c r="J105" s="2"/>
      <x:c r="K105" s="2"/>
      <x:c r="L105" s="2"/>
      <x:c r="M105" s="2"/>
      <x:c r="N105" s="2"/>
      <x:c r="O105" s="2"/>
      <x:c r="P105" s="2"/>
    </x:row>
    <x:row r="106" ht="22" customHeight="1">
      <x:c r="A106" s="3" t="d">
        <x:v>2025-09-01T00:00:00.000Z</x:v>
      </x:c>
      <x:c r="B106" s="2" t="str">
        <x:v>Delivery</x:v>
      </x:c>
      <x:c r="C106" s="2" t="str">
        <x:v>Mains</x:v>
      </x:c>
      <x:c r="D106" s="7" t="n">
        <x:v>309</x:v>
      </x:c>
      <x:c r="E106" s="8" t="n">
        <x:v>24</x:v>
      </x:c>
      <x:c r="F106" s="8" t="n">
        <x:v>8</x:v>
      </x:c>
      <x:c r="G106" s="9" t="n">
        <x:v>0.28</x:v>
      </x:c>
      <x:c r="H106" s="2"/>
      <x:c r="I106" s="2"/>
      <x:c r="J106" s="2"/>
      <x:c r="K106" s="2"/>
      <x:c r="L106" s="2"/>
      <x:c r="M106" s="2"/>
      <x:c r="N106" s="2"/>
      <x:c r="O106" s="2"/>
      <x:c r="P106" s="2"/>
    </x:row>
    <x:row r="107" ht="22" customHeight="1">
      <x:c r="A107" s="3" t="d">
        <x:v>2025-09-01T00:00:00.000Z</x:v>
      </x:c>
      <x:c r="B107" s="2" t="str">
        <x:v>Delivery</x:v>
      </x:c>
      <x:c r="C107" s="2" t="str">
        <x:v>Sides</x:v>
      </x:c>
      <x:c r="D107" s="7" t="n">
        <x:v>201</x:v>
      </x:c>
      <x:c r="E107" s="8" t="n">
        <x:v>9</x:v>
      </x:c>
      <x:c r="F107" s="8" t="n">
        <x:v>2.5</x:v>
      </x:c>
      <x:c r="G107" s="9" t="n">
        <x:v>0.28</x:v>
      </x:c>
      <x:c r="H107" s="2"/>
      <x:c r="I107" s="2"/>
      <x:c r="J107" s="2"/>
      <x:c r="K107" s="2"/>
      <x:c r="L107" s="2"/>
      <x:c r="M107" s="2"/>
      <x:c r="N107" s="2"/>
      <x:c r="O107" s="2"/>
      <x:c r="P107" s="2"/>
    </x:row>
    <x:row r="108" ht="22" customHeight="1">
      <x:c r="A108" s="3" t="d">
        <x:v>2025-09-01T00:00:00.000Z</x:v>
      </x:c>
      <x:c r="B108" s="2" t="str">
        <x:v>Delivery</x:v>
      </x:c>
      <x:c r="C108" s="2" t="str">
        <x:v>Drinks</x:v>
      </x:c>
      <x:c r="D108" s="7" t="n">
        <x:v>223</x:v>
      </x:c>
      <x:c r="E108" s="8" t="n">
        <x:v>6</x:v>
      </x:c>
      <x:c r="F108" s="8" t="n">
        <x:v>1.5</x:v>
      </x:c>
      <x:c r="G108" s="9" t="n">
        <x:v>0.28</x:v>
      </x:c>
      <x:c r="H108" s="2"/>
      <x:c r="I108" s="2"/>
      <x:c r="J108" s="2"/>
      <x:c r="K108" s="2"/>
      <x:c r="L108" s="2"/>
      <x:c r="M108" s="2"/>
      <x:c r="N108" s="2"/>
      <x:c r="O108" s="2"/>
      <x:c r="P108" s="2"/>
    </x:row>
    <x:row r="109" ht="22" customHeight="1">
      <x:c r="A109" s="3" t="d">
        <x:v>2025-09-01T00:00:00.000Z</x:v>
      </x:c>
      <x:c r="B109" s="2" t="str">
        <x:v>Delivery</x:v>
      </x:c>
      <x:c r="C109" s="2" t="str">
        <x:v>Desserts</x:v>
      </x:c>
      <x:c r="D109" s="7" t="n">
        <x:v>113</x:v>
      </x:c>
      <x:c r="E109" s="8" t="n">
        <x:v>11</x:v>
      </x:c>
      <x:c r="F109" s="8" t="n">
        <x:v>3.5</x:v>
      </x:c>
      <x:c r="G109" s="9" t="n">
        <x:v>0.28</x:v>
      </x:c>
      <x:c r="H109" s="2"/>
      <x:c r="I109" s="2"/>
      <x:c r="J109" s="2"/>
      <x:c r="K109" s="2"/>
      <x:c r="L109" s="2"/>
      <x:c r="M109" s="2"/>
      <x:c r="N109" s="2"/>
      <x:c r="O109" s="2"/>
      <x:c r="P109" s="2"/>
    </x:row>
    <x:row r="110" ht="22" customHeight="1">
      <x:c r="A110" s="3" t="d">
        <x:v>2025-10-01T00:00:00.000Z</x:v>
      </x:c>
      <x:c r="B110" s="2" t="str">
        <x:v>Dine-in</x:v>
      </x:c>
      <x:c r="C110" s="2" t="str">
        <x:v>Mains</x:v>
      </x:c>
      <x:c r="D110" s="7" t="n">
        <x:v>430</x:v>
      </x:c>
      <x:c r="E110" s="8" t="n">
        <x:v>24</x:v>
      </x:c>
      <x:c r="F110" s="8" t="n">
        <x:v>8</x:v>
      </x:c>
      <x:c r="G110" s="9" t="n">
        <x:v>0.015</x:v>
      </x:c>
      <x:c r="H110" s="2"/>
      <x:c r="I110" s="2"/>
      <x:c r="J110" s="2"/>
      <x:c r="K110" s="2"/>
      <x:c r="L110" s="2"/>
      <x:c r="M110" s="2"/>
      <x:c r="N110" s="2"/>
      <x:c r="O110" s="2"/>
      <x:c r="P110" s="2"/>
    </x:row>
    <x:row r="111" ht="22" customHeight="1">
      <x:c r="A111" s="3" t="d">
        <x:v>2025-10-01T00:00:00.000Z</x:v>
      </x:c>
      <x:c r="B111" s="2" t="str">
        <x:v>Dine-in</x:v>
      </x:c>
      <x:c r="C111" s="2" t="str">
        <x:v>Sides</x:v>
      </x:c>
      <x:c r="D111" s="7" t="n">
        <x:v>285</x:v>
      </x:c>
      <x:c r="E111" s="8" t="n">
        <x:v>9</x:v>
      </x:c>
      <x:c r="F111" s="8" t="n">
        <x:v>2.5</x:v>
      </x:c>
      <x:c r="G111" s="9" t="n">
        <x:v>0.015</x:v>
      </x:c>
      <x:c r="H111" s="2"/>
      <x:c r="I111" s="2"/>
      <x:c r="J111" s="2"/>
      <x:c r="K111" s="2"/>
      <x:c r="L111" s="2"/>
      <x:c r="M111" s="2"/>
      <x:c r="N111" s="2"/>
      <x:c r="O111" s="2"/>
      <x:c r="P111" s="2"/>
    </x:row>
    <x:row r="112" ht="22" customHeight="1">
      <x:c r="A112" s="3" t="d">
        <x:v>2025-10-01T00:00:00.000Z</x:v>
      </x:c>
      <x:c r="B112" s="2" t="str">
        <x:v>Dine-in</x:v>
      </x:c>
      <x:c r="C112" s="2" t="str">
        <x:v>Drinks</x:v>
      </x:c>
      <x:c r="D112" s="7" t="n">
        <x:v>336</x:v>
      </x:c>
      <x:c r="E112" s="8" t="n">
        <x:v>6</x:v>
      </x:c>
      <x:c r="F112" s="8" t="n">
        <x:v>1.5</x:v>
      </x:c>
      <x:c r="G112" s="9" t="n">
        <x:v>0.015</x:v>
      </x:c>
      <x:c r="H112" s="2"/>
      <x:c r="I112" s="2"/>
      <x:c r="J112" s="2"/>
      <x:c r="K112" s="2"/>
      <x:c r="L112" s="2"/>
      <x:c r="M112" s="2"/>
      <x:c r="N112" s="2"/>
      <x:c r="O112" s="2"/>
      <x:c r="P112" s="2"/>
    </x:row>
    <x:row r="113" ht="22" customHeight="1">
      <x:c r="A113" s="3" t="d">
        <x:v>2025-10-01T00:00:00.000Z</x:v>
      </x:c>
      <x:c r="B113" s="2" t="str">
        <x:v>Dine-in</x:v>
      </x:c>
      <x:c r="C113" s="2" t="str">
        <x:v>Desserts</x:v>
      </x:c>
      <x:c r="D113" s="7" t="n">
        <x:v>149</x:v>
      </x:c>
      <x:c r="E113" s="8" t="n">
        <x:v>11</x:v>
      </x:c>
      <x:c r="F113" s="8" t="n">
        <x:v>3.5</x:v>
      </x:c>
      <x:c r="G113" s="9" t="n">
        <x:v>0.015</x:v>
      </x:c>
      <x:c r="H113" s="2"/>
      <x:c r="I113" s="2"/>
      <x:c r="J113" s="2"/>
      <x:c r="K113" s="2"/>
      <x:c r="L113" s="2"/>
      <x:c r="M113" s="2"/>
      <x:c r="N113" s="2"/>
      <x:c r="O113" s="2"/>
      <x:c r="P113" s="2"/>
    </x:row>
    <x:row r="114" ht="22" customHeight="1">
      <x:c r="A114" s="3" t="d">
        <x:v>2025-10-01T00:00:00.000Z</x:v>
      </x:c>
      <x:c r="B114" s="2" t="str">
        <x:v>Pickup</x:v>
      </x:c>
      <x:c r="C114" s="2" t="str">
        <x:v>Mains</x:v>
      </x:c>
      <x:c r="D114" s="7" t="n">
        <x:v>281</x:v>
      </x:c>
      <x:c r="E114" s="8" t="n">
        <x:v>24</x:v>
      </x:c>
      <x:c r="F114" s="8" t="n">
        <x:v>8</x:v>
      </x:c>
      <x:c r="G114" s="9" t="n">
        <x:v>0.015</x:v>
      </x:c>
      <x:c r="H114" s="2"/>
      <x:c r="I114" s="2"/>
      <x:c r="J114" s="2"/>
      <x:c r="K114" s="2"/>
      <x:c r="L114" s="2"/>
      <x:c r="M114" s="2"/>
      <x:c r="N114" s="2"/>
      <x:c r="O114" s="2"/>
      <x:c r="P114" s="2"/>
    </x:row>
    <x:row r="115" ht="22" customHeight="1">
      <x:c r="A115" s="3" t="d">
        <x:v>2025-10-01T00:00:00.000Z</x:v>
      </x:c>
      <x:c r="B115" s="2" t="str">
        <x:v>Pickup</x:v>
      </x:c>
      <x:c r="C115" s="2" t="str">
        <x:v>Sides</x:v>
      </x:c>
      <x:c r="D115" s="7" t="n">
        <x:v>166</x:v>
      </x:c>
      <x:c r="E115" s="8" t="n">
        <x:v>9</x:v>
      </x:c>
      <x:c r="F115" s="8" t="n">
        <x:v>2.5</x:v>
      </x:c>
      <x:c r="G115" s="9" t="n">
        <x:v>0.015</x:v>
      </x:c>
      <x:c r="H115" s="2"/>
      <x:c r="I115" s="2"/>
      <x:c r="J115" s="2"/>
      <x:c r="K115" s="2"/>
      <x:c r="L115" s="2"/>
      <x:c r="M115" s="2"/>
      <x:c r="N115" s="2"/>
      <x:c r="O115" s="2"/>
      <x:c r="P115" s="2"/>
    </x:row>
    <x:row r="116" ht="22" customHeight="1">
      <x:c r="A116" s="3" t="d">
        <x:v>2025-10-01T00:00:00.000Z</x:v>
      </x:c>
      <x:c r="B116" s="2" t="str">
        <x:v>Pickup</x:v>
      </x:c>
      <x:c r="C116" s="2" t="str">
        <x:v>Drinks</x:v>
      </x:c>
      <x:c r="D116" s="7" t="n">
        <x:v>220</x:v>
      </x:c>
      <x:c r="E116" s="8" t="n">
        <x:v>6</x:v>
      </x:c>
      <x:c r="F116" s="8" t="n">
        <x:v>1.5</x:v>
      </x:c>
      <x:c r="G116" s="9" t="n">
        <x:v>0.015</x:v>
      </x:c>
      <x:c r="H116" s="2"/>
      <x:c r="I116" s="2"/>
      <x:c r="J116" s="2"/>
      <x:c r="K116" s="2"/>
      <x:c r="L116" s="2"/>
      <x:c r="M116" s="2"/>
      <x:c r="N116" s="2"/>
      <x:c r="O116" s="2"/>
      <x:c r="P116" s="2"/>
    </x:row>
    <x:row r="117" ht="22" customHeight="1">
      <x:c r="A117" s="3" t="d">
        <x:v>2025-10-01T00:00:00.000Z</x:v>
      </x:c>
      <x:c r="B117" s="2" t="str">
        <x:v>Pickup</x:v>
      </x:c>
      <x:c r="C117" s="2" t="str">
        <x:v>Desserts</x:v>
      </x:c>
      <x:c r="D117" s="7" t="n">
        <x:v>106</x:v>
      </x:c>
      <x:c r="E117" s="8" t="n">
        <x:v>11</x:v>
      </x:c>
      <x:c r="F117" s="8" t="n">
        <x:v>3.5</x:v>
      </x:c>
      <x:c r="G117" s="9" t="n">
        <x:v>0.015</x:v>
      </x:c>
      <x:c r="H117" s="2"/>
      <x:c r="I117" s="2"/>
      <x:c r="J117" s="2"/>
      <x:c r="K117" s="2"/>
      <x:c r="L117" s="2"/>
      <x:c r="M117" s="2"/>
      <x:c r="N117" s="2"/>
      <x:c r="O117" s="2"/>
      <x:c r="P117" s="2"/>
    </x:row>
    <x:row r="118" ht="22" customHeight="1">
      <x:c r="A118" s="3" t="d">
        <x:v>2025-10-01T00:00:00.000Z</x:v>
      </x:c>
      <x:c r="B118" s="2" t="str">
        <x:v>Delivery</x:v>
      </x:c>
      <x:c r="C118" s="2" t="str">
        <x:v>Mains</x:v>
      </x:c>
      <x:c r="D118" s="7" t="n">
        <x:v>336</x:v>
      </x:c>
      <x:c r="E118" s="8" t="n">
        <x:v>24</x:v>
      </x:c>
      <x:c r="F118" s="8" t="n">
        <x:v>8</x:v>
      </x:c>
      <x:c r="G118" s="9" t="n">
        <x:v>0.28</x:v>
      </x:c>
      <x:c r="H118" s="2"/>
      <x:c r="I118" s="2"/>
      <x:c r="J118" s="2"/>
      <x:c r="K118" s="2"/>
      <x:c r="L118" s="2"/>
      <x:c r="M118" s="2"/>
      <x:c r="N118" s="2"/>
      <x:c r="O118" s="2"/>
      <x:c r="P118" s="2"/>
    </x:row>
    <x:row r="119" ht="22" customHeight="1">
      <x:c r="A119" s="3" t="d">
        <x:v>2025-10-01T00:00:00.000Z</x:v>
      </x:c>
      <x:c r="B119" s="2" t="str">
        <x:v>Delivery</x:v>
      </x:c>
      <x:c r="C119" s="2" t="str">
        <x:v>Sides</x:v>
      </x:c>
      <x:c r="D119" s="7" t="n">
        <x:v>218</x:v>
      </x:c>
      <x:c r="E119" s="8" t="n">
        <x:v>9</x:v>
      </x:c>
      <x:c r="F119" s="8" t="n">
        <x:v>2.5</x:v>
      </x:c>
      <x:c r="G119" s="9" t="n">
        <x:v>0.28</x:v>
      </x:c>
      <x:c r="H119" s="2"/>
      <x:c r="I119" s="2"/>
      <x:c r="J119" s="2"/>
      <x:c r="K119" s="2"/>
      <x:c r="L119" s="2"/>
      <x:c r="M119" s="2"/>
      <x:c r="N119" s="2"/>
      <x:c r="O119" s="2"/>
      <x:c r="P119" s="2"/>
    </x:row>
    <x:row r="120" ht="22" customHeight="1">
      <x:c r="A120" s="3" t="d">
        <x:v>2025-10-01T00:00:00.000Z</x:v>
      </x:c>
      <x:c r="B120" s="2" t="str">
        <x:v>Delivery</x:v>
      </x:c>
      <x:c r="C120" s="2" t="str">
        <x:v>Drinks</x:v>
      </x:c>
      <x:c r="D120" s="7" t="n">
        <x:v>259</x:v>
      </x:c>
      <x:c r="E120" s="8" t="n">
        <x:v>6</x:v>
      </x:c>
      <x:c r="F120" s="8" t="n">
        <x:v>1.5</x:v>
      </x:c>
      <x:c r="G120" s="9" t="n">
        <x:v>0.28</x:v>
      </x:c>
      <x:c r="H120" s="2"/>
      <x:c r="I120" s="2"/>
      <x:c r="J120" s="2"/>
      <x:c r="K120" s="2"/>
      <x:c r="L120" s="2"/>
      <x:c r="M120" s="2"/>
      <x:c r="N120" s="2"/>
      <x:c r="O120" s="2"/>
      <x:c r="P120" s="2"/>
    </x:row>
    <x:row r="121" ht="22" customHeight="1">
      <x:c r="A121" s="3" t="d">
        <x:v>2025-10-01T00:00:00.000Z</x:v>
      </x:c>
      <x:c r="B121" s="2" t="str">
        <x:v>Delivery</x:v>
      </x:c>
      <x:c r="C121" s="2" t="str">
        <x:v>Desserts</x:v>
      </x:c>
      <x:c r="D121" s="7" t="n">
        <x:v>118</x:v>
      </x:c>
      <x:c r="E121" s="8" t="n">
        <x:v>11</x:v>
      </x:c>
      <x:c r="F121" s="8" t="n">
        <x:v>3.5</x:v>
      </x:c>
      <x:c r="G121" s="9" t="n">
        <x:v>0.28</x:v>
      </x:c>
      <x:c r="H121" s="2"/>
      <x:c r="I121" s="2"/>
      <x:c r="J121" s="2"/>
      <x:c r="K121" s="2"/>
      <x:c r="L121" s="2"/>
      <x:c r="M121" s="2"/>
      <x:c r="N121" s="2"/>
      <x:c r="O121" s="2"/>
      <x:c r="P121" s="2"/>
    </x:row>
    <x:row r="122" ht="22" customHeight="1">
      <x:c r="A122" s="3" t="d">
        <x:v>2025-11-01T00:00:00.000Z</x:v>
      </x:c>
      <x:c r="B122" s="2" t="str">
        <x:v>Dine-in</x:v>
      </x:c>
      <x:c r="C122" s="2" t="str">
        <x:v>Mains</x:v>
      </x:c>
      <x:c r="D122" s="7" t="n">
        <x:v>479</x:v>
      </x:c>
      <x:c r="E122" s="8" t="n">
        <x:v>24</x:v>
      </x:c>
      <x:c r="F122" s="8" t="n">
        <x:v>8</x:v>
      </x:c>
      <x:c r="G122" s="9" t="n">
        <x:v>0.015</x:v>
      </x:c>
      <x:c r="H122" s="2"/>
      <x:c r="I122" s="2"/>
      <x:c r="J122" s="2"/>
      <x:c r="K122" s="2"/>
      <x:c r="L122" s="2"/>
      <x:c r="M122" s="2"/>
      <x:c r="N122" s="2"/>
      <x:c r="O122" s="2"/>
      <x:c r="P122" s="2"/>
    </x:row>
    <x:row r="123" ht="22" customHeight="1">
      <x:c r="A123" s="3" t="d">
        <x:v>2025-11-01T00:00:00.000Z</x:v>
      </x:c>
      <x:c r="B123" s="2" t="str">
        <x:v>Dine-in</x:v>
      </x:c>
      <x:c r="C123" s="2" t="str">
        <x:v>Sides</x:v>
      </x:c>
      <x:c r="D123" s="7" t="n">
        <x:v>288</x:v>
      </x:c>
      <x:c r="E123" s="8" t="n">
        <x:v>9</x:v>
      </x:c>
      <x:c r="F123" s="8" t="n">
        <x:v>2.5</x:v>
      </x:c>
      <x:c r="G123" s="9" t="n">
        <x:v>0.015</x:v>
      </x:c>
      <x:c r="H123" s="2"/>
      <x:c r="I123" s="2"/>
      <x:c r="J123" s="2"/>
      <x:c r="K123" s="2"/>
      <x:c r="L123" s="2"/>
      <x:c r="M123" s="2"/>
      <x:c r="N123" s="2"/>
      <x:c r="O123" s="2"/>
      <x:c r="P123" s="2"/>
    </x:row>
    <x:row r="124" ht="22" customHeight="1">
      <x:c r="A124" s="3" t="d">
        <x:v>2025-11-01T00:00:00.000Z</x:v>
      </x:c>
      <x:c r="B124" s="2" t="str">
        <x:v>Dine-in</x:v>
      </x:c>
      <x:c r="C124" s="2" t="str">
        <x:v>Drinks</x:v>
      </x:c>
      <x:c r="D124" s="7" t="n">
        <x:v>354</x:v>
      </x:c>
      <x:c r="E124" s="8" t="n">
        <x:v>6</x:v>
      </x:c>
      <x:c r="F124" s="8" t="n">
        <x:v>1.5</x:v>
      </x:c>
      <x:c r="G124" s="9" t="n">
        <x:v>0.015</x:v>
      </x:c>
      <x:c r="H124" s="2"/>
      <x:c r="I124" s="2"/>
      <x:c r="J124" s="2"/>
      <x:c r="K124" s="2"/>
      <x:c r="L124" s="2"/>
      <x:c r="M124" s="2"/>
      <x:c r="N124" s="2"/>
      <x:c r="O124" s="2"/>
      <x:c r="P124" s="2"/>
    </x:row>
    <x:row r="125" ht="22" customHeight="1">
      <x:c r="A125" s="3" t="d">
        <x:v>2025-11-01T00:00:00.000Z</x:v>
      </x:c>
      <x:c r="B125" s="2" t="str">
        <x:v>Dine-in</x:v>
      </x:c>
      <x:c r="C125" s="2" t="str">
        <x:v>Desserts</x:v>
      </x:c>
      <x:c r="D125" s="7" t="n">
        <x:v>166</x:v>
      </x:c>
      <x:c r="E125" s="8" t="n">
        <x:v>11</x:v>
      </x:c>
      <x:c r="F125" s="8" t="n">
        <x:v>3.5</x:v>
      </x:c>
      <x:c r="G125" s="9" t="n">
        <x:v>0.015</x:v>
      </x:c>
      <x:c r="H125" s="2"/>
      <x:c r="I125" s="2"/>
      <x:c r="J125" s="2"/>
      <x:c r="K125" s="2"/>
      <x:c r="L125" s="2"/>
      <x:c r="M125" s="2"/>
      <x:c r="N125" s="2"/>
      <x:c r="O125" s="2"/>
      <x:c r="P125" s="2"/>
    </x:row>
    <x:row r="126" ht="22" customHeight="1">
      <x:c r="A126" s="3" t="d">
        <x:v>2025-11-01T00:00:00.000Z</x:v>
      </x:c>
      <x:c r="B126" s="2" t="str">
        <x:v>Pickup</x:v>
      </x:c>
      <x:c r="C126" s="2" t="str">
        <x:v>Mains</x:v>
      </x:c>
      <x:c r="D126" s="7" t="n">
        <x:v>279</x:v>
      </x:c>
      <x:c r="E126" s="8" t="n">
        <x:v>24</x:v>
      </x:c>
      <x:c r="F126" s="8" t="n">
        <x:v>8</x:v>
      </x:c>
      <x:c r="G126" s="9" t="n">
        <x:v>0.015</x:v>
      </x:c>
      <x:c r="H126" s="2"/>
      <x:c r="I126" s="2"/>
      <x:c r="J126" s="2"/>
      <x:c r="K126" s="2"/>
      <x:c r="L126" s="2"/>
      <x:c r="M126" s="2"/>
      <x:c r="N126" s="2"/>
      <x:c r="O126" s="2"/>
      <x:c r="P126" s="2"/>
    </x:row>
    <x:row r="127" ht="22" customHeight="1">
      <x:c r="A127" s="3" t="d">
        <x:v>2025-11-01T00:00:00.000Z</x:v>
      </x:c>
      <x:c r="B127" s="2" t="str">
        <x:v>Pickup</x:v>
      </x:c>
      <x:c r="C127" s="2" t="str">
        <x:v>Sides</x:v>
      </x:c>
      <x:c r="D127" s="7" t="n">
        <x:v>181</x:v>
      </x:c>
      <x:c r="E127" s="8" t="n">
        <x:v>9</x:v>
      </x:c>
      <x:c r="F127" s="8" t="n">
        <x:v>2.5</x:v>
      </x:c>
      <x:c r="G127" s="9" t="n">
        <x:v>0.015</x:v>
      </x:c>
      <x:c r="H127" s="2"/>
      <x:c r="I127" s="2"/>
      <x:c r="J127" s="2"/>
      <x:c r="K127" s="2"/>
      <x:c r="L127" s="2"/>
      <x:c r="M127" s="2"/>
      <x:c r="N127" s="2"/>
      <x:c r="O127" s="2"/>
      <x:c r="P127" s="2"/>
    </x:row>
    <x:row r="128" ht="22" customHeight="1">
      <x:c r="A128" s="3" t="d">
        <x:v>2025-11-01T00:00:00.000Z</x:v>
      </x:c>
      <x:c r="B128" s="2" t="str">
        <x:v>Pickup</x:v>
      </x:c>
      <x:c r="C128" s="2" t="str">
        <x:v>Drinks</x:v>
      </x:c>
      <x:c r="D128" s="7" t="n">
        <x:v>207</x:v>
      </x:c>
      <x:c r="E128" s="8" t="n">
        <x:v>6</x:v>
      </x:c>
      <x:c r="F128" s="8" t="n">
        <x:v>1.5</x:v>
      </x:c>
      <x:c r="G128" s="9" t="n">
        <x:v>0.015</x:v>
      </x:c>
      <x:c r="H128" s="2"/>
      <x:c r="I128" s="2"/>
      <x:c r="J128" s="2"/>
      <x:c r="K128" s="2"/>
      <x:c r="L128" s="2"/>
      <x:c r="M128" s="2"/>
      <x:c r="N128" s="2"/>
      <x:c r="O128" s="2"/>
      <x:c r="P128" s="2"/>
    </x:row>
    <x:row r="129" ht="22" customHeight="1">
      <x:c r="A129" s="3" t="d">
        <x:v>2025-11-01T00:00:00.000Z</x:v>
      </x:c>
      <x:c r="B129" s="2" t="str">
        <x:v>Pickup</x:v>
      </x:c>
      <x:c r="C129" s="2" t="str">
        <x:v>Desserts</x:v>
      </x:c>
      <x:c r="D129" s="7" t="n">
        <x:v>114</x:v>
      </x:c>
      <x:c r="E129" s="8" t="n">
        <x:v>11</x:v>
      </x:c>
      <x:c r="F129" s="8" t="n">
        <x:v>3.5</x:v>
      </x:c>
      <x:c r="G129" s="9" t="n">
        <x:v>0.015</x:v>
      </x:c>
      <x:c r="H129" s="2"/>
      <x:c r="I129" s="2"/>
      <x:c r="J129" s="2"/>
      <x:c r="K129" s="2"/>
      <x:c r="L129" s="2"/>
      <x:c r="M129" s="2"/>
      <x:c r="N129" s="2"/>
      <x:c r="O129" s="2"/>
      <x:c r="P129" s="2"/>
    </x:row>
    <x:row r="130" ht="22" customHeight="1">
      <x:c r="A130" s="3" t="d">
        <x:v>2025-11-01T00:00:00.000Z</x:v>
      </x:c>
      <x:c r="B130" s="2" t="str">
        <x:v>Delivery</x:v>
      </x:c>
      <x:c r="C130" s="2" t="str">
        <x:v>Mains</x:v>
      </x:c>
      <x:c r="D130" s="7" t="n">
        <x:v>389</x:v>
      </x:c>
      <x:c r="E130" s="8" t="n">
        <x:v>24</x:v>
      </x:c>
      <x:c r="F130" s="8" t="n">
        <x:v>8</x:v>
      </x:c>
      <x:c r="G130" s="9" t="n">
        <x:v>0.28</x:v>
      </x:c>
      <x:c r="H130" s="2"/>
      <x:c r="I130" s="2"/>
      <x:c r="J130" s="2"/>
      <x:c r="K130" s="2"/>
      <x:c r="L130" s="2"/>
      <x:c r="M130" s="2"/>
      <x:c r="N130" s="2"/>
      <x:c r="O130" s="2"/>
      <x:c r="P130" s="2"/>
    </x:row>
    <x:row r="131" ht="22" customHeight="1">
      <x:c r="A131" s="3" t="d">
        <x:v>2025-11-01T00:00:00.000Z</x:v>
      </x:c>
      <x:c r="B131" s="2" t="str">
        <x:v>Delivery</x:v>
      </x:c>
      <x:c r="C131" s="2" t="str">
        <x:v>Sides</x:v>
      </x:c>
      <x:c r="D131" s="7" t="n">
        <x:v>239</x:v>
      </x:c>
      <x:c r="E131" s="8" t="n">
        <x:v>9</x:v>
      </x:c>
      <x:c r="F131" s="8" t="n">
        <x:v>2.5</x:v>
      </x:c>
      <x:c r="G131" s="9" t="n">
        <x:v>0.28</x:v>
      </x:c>
      <x:c r="H131" s="2"/>
      <x:c r="I131" s="2"/>
      <x:c r="J131" s="2"/>
      <x:c r="K131" s="2"/>
      <x:c r="L131" s="2"/>
      <x:c r="M131" s="2"/>
      <x:c r="N131" s="2"/>
      <x:c r="O131" s="2"/>
      <x:c r="P131" s="2"/>
    </x:row>
    <x:row r="132" ht="22" customHeight="1">
      <x:c r="A132" s="3" t="d">
        <x:v>2025-11-01T00:00:00.000Z</x:v>
      </x:c>
      <x:c r="B132" s="2" t="str">
        <x:v>Delivery</x:v>
      </x:c>
      <x:c r="C132" s="2" t="str">
        <x:v>Drinks</x:v>
      </x:c>
      <x:c r="D132" s="7" t="n">
        <x:v>265</x:v>
      </x:c>
      <x:c r="E132" s="8" t="n">
        <x:v>6</x:v>
      </x:c>
      <x:c r="F132" s="8" t="n">
        <x:v>1.5</x:v>
      </x:c>
      <x:c r="G132" s="9" t="n">
        <x:v>0.28</x:v>
      </x:c>
      <x:c r="H132" s="2"/>
      <x:c r="I132" s="2"/>
      <x:c r="J132" s="2"/>
      <x:c r="K132" s="2"/>
      <x:c r="L132" s="2"/>
      <x:c r="M132" s="2"/>
      <x:c r="N132" s="2"/>
      <x:c r="O132" s="2"/>
      <x:c r="P132" s="2"/>
    </x:row>
    <x:row r="133" ht="22" customHeight="1">
      <x:c r="A133" s="3" t="d">
        <x:v>2025-11-01T00:00:00.000Z</x:v>
      </x:c>
      <x:c r="B133" s="2" t="str">
        <x:v>Delivery</x:v>
      </x:c>
      <x:c r="C133" s="2" t="str">
        <x:v>Desserts</x:v>
      </x:c>
      <x:c r="D133" s="7" t="n">
        <x:v>124</x:v>
      </x:c>
      <x:c r="E133" s="8" t="n">
        <x:v>11</x:v>
      </x:c>
      <x:c r="F133" s="8" t="n">
        <x:v>3.5</x:v>
      </x:c>
      <x:c r="G133" s="9" t="n">
        <x:v>0.28</x:v>
      </x:c>
      <x:c r="H133" s="2"/>
      <x:c r="I133" s="2"/>
      <x:c r="J133" s="2"/>
      <x:c r="K133" s="2"/>
      <x:c r="L133" s="2"/>
      <x:c r="M133" s="2"/>
      <x:c r="N133" s="2"/>
      <x:c r="O133" s="2"/>
      <x:c r="P133" s="2"/>
    </x:row>
    <x:row r="134" ht="22" customHeight="1">
      <x:c r="A134" s="3" t="d">
        <x:v>2025-12-01T00:00:00.000Z</x:v>
      </x:c>
      <x:c r="B134" s="2" t="str">
        <x:v>Dine-in</x:v>
      </x:c>
      <x:c r="C134" s="2" t="str">
        <x:v>Mains</x:v>
      </x:c>
      <x:c r="D134" s="7" t="n">
        <x:v>531</x:v>
      </x:c>
      <x:c r="E134" s="8" t="n">
        <x:v>24</x:v>
      </x:c>
      <x:c r="F134" s="8" t="n">
        <x:v>8</x:v>
      </x:c>
      <x:c r="G134" s="9" t="n">
        <x:v>0.015</x:v>
      </x:c>
      <x:c r="H134" s="2"/>
      <x:c r="I134" s="2"/>
      <x:c r="J134" s="2"/>
      <x:c r="K134" s="2"/>
      <x:c r="L134" s="2"/>
      <x:c r="M134" s="2"/>
      <x:c r="N134" s="2"/>
      <x:c r="O134" s="2"/>
      <x:c r="P134" s="2"/>
    </x:row>
    <x:row r="135" ht="22" customHeight="1">
      <x:c r="A135" s="3" t="d">
        <x:v>2025-12-01T00:00:00.000Z</x:v>
      </x:c>
      <x:c r="B135" s="2" t="str">
        <x:v>Dine-in</x:v>
      </x:c>
      <x:c r="C135" s="2" t="str">
        <x:v>Sides</x:v>
      </x:c>
      <x:c r="D135" s="7" t="n">
        <x:v>332</x:v>
      </x:c>
      <x:c r="E135" s="8" t="n">
        <x:v>9</x:v>
      </x:c>
      <x:c r="F135" s="8" t="n">
        <x:v>2.5</x:v>
      </x:c>
      <x:c r="G135" s="9" t="n">
        <x:v>0.015</x:v>
      </x:c>
      <x:c r="H135" s="2"/>
      <x:c r="I135" s="2"/>
      <x:c r="J135" s="2"/>
      <x:c r="K135" s="2"/>
      <x:c r="L135" s="2"/>
      <x:c r="M135" s="2"/>
      <x:c r="N135" s="2"/>
      <x:c r="O135" s="2"/>
      <x:c r="P135" s="2"/>
    </x:row>
    <x:row r="136" ht="22" customHeight="1">
      <x:c r="A136" s="3" t="d">
        <x:v>2025-12-01T00:00:00.000Z</x:v>
      </x:c>
      <x:c r="B136" s="2" t="str">
        <x:v>Dine-in</x:v>
      </x:c>
      <x:c r="C136" s="2" t="str">
        <x:v>Drinks</x:v>
      </x:c>
      <x:c r="D136" s="7" t="n">
        <x:v>350</x:v>
      </x:c>
      <x:c r="E136" s="8" t="n">
        <x:v>6</x:v>
      </x:c>
      <x:c r="F136" s="8" t="n">
        <x:v>1.5</x:v>
      </x:c>
      <x:c r="G136" s="9" t="n">
        <x:v>0.015</x:v>
      </x:c>
      <x:c r="H136" s="2"/>
      <x:c r="I136" s="2"/>
      <x:c r="J136" s="2"/>
      <x:c r="K136" s="2"/>
      <x:c r="L136" s="2"/>
      <x:c r="M136" s="2"/>
      <x:c r="N136" s="2"/>
      <x:c r="O136" s="2"/>
      <x:c r="P136" s="2"/>
    </x:row>
    <x:row r="137" ht="22" customHeight="1">
      <x:c r="A137" s="3" t="d">
        <x:v>2025-12-01T00:00:00.000Z</x:v>
      </x:c>
      <x:c r="B137" s="2" t="str">
        <x:v>Dine-in</x:v>
      </x:c>
      <x:c r="C137" s="2" t="str">
        <x:v>Desserts</x:v>
      </x:c>
      <x:c r="D137" s="7" t="n">
        <x:v>180</x:v>
      </x:c>
      <x:c r="E137" s="8" t="n">
        <x:v>11</x:v>
      </x:c>
      <x:c r="F137" s="8" t="n">
        <x:v>3.5</x:v>
      </x:c>
      <x:c r="G137" s="9" t="n">
        <x:v>0.015</x:v>
      </x:c>
      <x:c r="H137" s="2"/>
      <x:c r="I137" s="2"/>
      <x:c r="J137" s="2"/>
      <x:c r="K137" s="2"/>
      <x:c r="L137" s="2"/>
      <x:c r="M137" s="2"/>
      <x:c r="N137" s="2"/>
      <x:c r="O137" s="2"/>
      <x:c r="P137" s="2"/>
    </x:row>
    <x:row r="138" ht="22" customHeight="1">
      <x:c r="A138" s="3" t="d">
        <x:v>2025-12-01T00:00:00.000Z</x:v>
      </x:c>
      <x:c r="B138" s="2" t="str">
        <x:v>Pickup</x:v>
      </x:c>
      <x:c r="C138" s="2" t="str">
        <x:v>Mains</x:v>
      </x:c>
      <x:c r="D138" s="7" t="n">
        <x:v>308</x:v>
      </x:c>
      <x:c r="E138" s="8" t="n">
        <x:v>24</x:v>
      </x:c>
      <x:c r="F138" s="8" t="n">
        <x:v>8</x:v>
      </x:c>
      <x:c r="G138" s="9" t="n">
        <x:v>0.015</x:v>
      </x:c>
      <x:c r="H138" s="2"/>
      <x:c r="I138" s="2"/>
      <x:c r="J138" s="2"/>
      <x:c r="K138" s="2"/>
      <x:c r="L138" s="2"/>
      <x:c r="M138" s="2"/>
      <x:c r="N138" s="2"/>
      <x:c r="O138" s="2"/>
      <x:c r="P138" s="2"/>
    </x:row>
    <x:row r="139" ht="22" customHeight="1">
      <x:c r="A139" s="3" t="d">
        <x:v>2025-12-01T00:00:00.000Z</x:v>
      </x:c>
      <x:c r="B139" s="2" t="str">
        <x:v>Pickup</x:v>
      </x:c>
      <x:c r="C139" s="2" t="str">
        <x:v>Sides</x:v>
      </x:c>
      <x:c r="D139" s="7" t="n">
        <x:v>210</x:v>
      </x:c>
      <x:c r="E139" s="8" t="n">
        <x:v>9</x:v>
      </x:c>
      <x:c r="F139" s="8" t="n">
        <x:v>2.5</x:v>
      </x:c>
      <x:c r="G139" s="9" t="n">
        <x:v>0.015</x:v>
      </x:c>
      <x:c r="H139" s="2"/>
      <x:c r="I139" s="2"/>
      <x:c r="J139" s="2"/>
      <x:c r="K139" s="2"/>
      <x:c r="L139" s="2"/>
      <x:c r="M139" s="2"/>
      <x:c r="N139" s="2"/>
      <x:c r="O139" s="2"/>
      <x:c r="P139" s="2"/>
    </x:row>
    <x:row r="140" ht="22" customHeight="1">
      <x:c r="A140" s="3" t="d">
        <x:v>2025-12-01T00:00:00.000Z</x:v>
      </x:c>
      <x:c r="B140" s="2" t="str">
        <x:v>Pickup</x:v>
      </x:c>
      <x:c r="C140" s="2" t="str">
        <x:v>Drinks</x:v>
      </x:c>
      <x:c r="D140" s="7" t="n">
        <x:v>251</x:v>
      </x:c>
      <x:c r="E140" s="8" t="n">
        <x:v>6</x:v>
      </x:c>
      <x:c r="F140" s="8" t="n">
        <x:v>1.5</x:v>
      </x:c>
      <x:c r="G140" s="9" t="n">
        <x:v>0.015</x:v>
      </x:c>
      <x:c r="H140" s="2"/>
      <x:c r="I140" s="2"/>
      <x:c r="J140" s="2"/>
      <x:c r="K140" s="2"/>
      <x:c r="L140" s="2"/>
      <x:c r="M140" s="2"/>
      <x:c r="N140" s="2"/>
      <x:c r="O140" s="2"/>
      <x:c r="P140" s="2"/>
    </x:row>
    <x:row r="141" ht="22" customHeight="1">
      <x:c r="A141" s="3" t="d">
        <x:v>2025-12-01T00:00:00.000Z</x:v>
      </x:c>
      <x:c r="B141" s="2" t="str">
        <x:v>Pickup</x:v>
      </x:c>
      <x:c r="C141" s="2" t="str">
        <x:v>Desserts</x:v>
      </x:c>
      <x:c r="D141" s="7" t="n">
        <x:v>111</x:v>
      </x:c>
      <x:c r="E141" s="8" t="n">
        <x:v>11</x:v>
      </x:c>
      <x:c r="F141" s="8" t="n">
        <x:v>3.5</x:v>
      </x:c>
      <x:c r="G141" s="9" t="n">
        <x:v>0.015</x:v>
      </x:c>
      <x:c r="H141" s="2"/>
      <x:c r="I141" s="2"/>
      <x:c r="J141" s="2"/>
      <x:c r="K141" s="2"/>
      <x:c r="L141" s="2"/>
      <x:c r="M141" s="2"/>
      <x:c r="N141" s="2"/>
      <x:c r="O141" s="2"/>
      <x:c r="P141" s="2"/>
    </x:row>
    <x:row r="142" ht="22" customHeight="1">
      <x:c r="A142" s="3" t="d">
        <x:v>2025-12-01T00:00:00.000Z</x:v>
      </x:c>
      <x:c r="B142" s="2" t="str">
        <x:v>Delivery</x:v>
      </x:c>
      <x:c r="C142" s="2" t="str">
        <x:v>Mains</x:v>
      </x:c>
      <x:c r="D142" s="7" t="n">
        <x:v>402</x:v>
      </x:c>
      <x:c r="E142" s="8" t="n">
        <x:v>24</x:v>
      </x:c>
      <x:c r="F142" s="8" t="n">
        <x:v>8</x:v>
      </x:c>
      <x:c r="G142" s="9" t="n">
        <x:v>0.28</x:v>
      </x:c>
      <x:c r="H142" s="2"/>
      <x:c r="I142" s="2"/>
      <x:c r="J142" s="2"/>
      <x:c r="K142" s="2"/>
      <x:c r="L142" s="2"/>
      <x:c r="M142" s="2"/>
      <x:c r="N142" s="2"/>
      <x:c r="O142" s="2"/>
      <x:c r="P142" s="2"/>
    </x:row>
    <x:row r="143" ht="22" customHeight="1">
      <x:c r="A143" s="3" t="d">
        <x:v>2025-12-01T00:00:00.000Z</x:v>
      </x:c>
      <x:c r="B143" s="2" t="str">
        <x:v>Delivery</x:v>
      </x:c>
      <x:c r="C143" s="2" t="str">
        <x:v>Sides</x:v>
      </x:c>
      <x:c r="D143" s="7" t="n">
        <x:v>251</x:v>
      </x:c>
      <x:c r="E143" s="8" t="n">
        <x:v>9</x:v>
      </x:c>
      <x:c r="F143" s="8" t="n">
        <x:v>2.5</x:v>
      </x:c>
      <x:c r="G143" s="9" t="n">
        <x:v>0.28</x:v>
      </x:c>
      <x:c r="H143" s="2"/>
      <x:c r="I143" s="2"/>
      <x:c r="J143" s="2"/>
      <x:c r="K143" s="2"/>
      <x:c r="L143" s="2"/>
      <x:c r="M143" s="2"/>
      <x:c r="N143" s="2"/>
      <x:c r="O143" s="2"/>
      <x:c r="P143" s="2"/>
    </x:row>
    <x:row r="144" ht="22" customHeight="1">
      <x:c r="A144" s="3" t="d">
        <x:v>2025-12-01T00:00:00.000Z</x:v>
      </x:c>
      <x:c r="B144" s="2" t="str">
        <x:v>Delivery</x:v>
      </x:c>
      <x:c r="C144" s="2" t="str">
        <x:v>Drinks</x:v>
      </x:c>
      <x:c r="D144" s="7" t="n">
        <x:v>288</x:v>
      </x:c>
      <x:c r="E144" s="8" t="n">
        <x:v>6</x:v>
      </x:c>
      <x:c r="F144" s="8" t="n">
        <x:v>1.5</x:v>
      </x:c>
      <x:c r="G144" s="9" t="n">
        <x:v>0.28</x:v>
      </x:c>
      <x:c r="H144" s="2"/>
      <x:c r="I144" s="2"/>
      <x:c r="J144" s="2"/>
      <x:c r="K144" s="2"/>
      <x:c r="L144" s="2"/>
      <x:c r="M144" s="2"/>
      <x:c r="N144" s="2"/>
      <x:c r="O144" s="2"/>
      <x:c r="P144" s="2"/>
    </x:row>
    <x:row r="145" ht="22" customHeight="1">
      <x:c r="A145" s="3" t="d">
        <x:v>2025-12-01T00:00:00.000Z</x:v>
      </x:c>
      <x:c r="B145" s="2" t="str">
        <x:v>Delivery</x:v>
      </x:c>
      <x:c r="C145" s="2" t="str">
        <x:v>Desserts</x:v>
      </x:c>
      <x:c r="D145" s="7" t="n">
        <x:v>152</x:v>
      </x:c>
      <x:c r="E145" s="8" t="n">
        <x:v>11</x:v>
      </x:c>
      <x:c r="F145" s="8" t="n">
        <x:v>3.5</x:v>
      </x:c>
      <x:c r="G145" s="9" t="n">
        <x:v>0.28</x:v>
      </x:c>
      <x:c r="H145" s="2"/>
      <x:c r="I145" s="2"/>
      <x:c r="J145" s="2"/>
      <x:c r="K145" s="2"/>
      <x:c r="L145" s="2"/>
      <x:c r="M145" s="2"/>
      <x:c r="N145" s="2"/>
      <x:c r="O145" s="2"/>
      <x:c r="P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</x:row>
  </x:sheetData>
  <x:dataValidations count="2">
    <x:dataValidation type="whole" operator="greaterThanOrEqual" sqref="D2:D145">
      <x:formula1>0</x:formula1>
    </x:dataValidation>
    <x:dataValidation type="decimal" operator="between" sqref="G2:G145">
      <x:formula1>0</x:formula1>
      <x:formula2>1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cba55624eed94c2d"/>
    <x:tablePart xmlns:r="http://schemas.openxmlformats.org/officeDocument/2006/relationships" r:id="R2b045b9137224737"/>
  </x:tableParts>
</x:worksheet>
</file>